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ject\"/>
    </mc:Choice>
  </mc:AlternateContent>
  <xr:revisionPtr revIDLastSave="0" documentId="8_{3433A6A2-BB95-4D19-B5F3-960B45AB2A5F}" xr6:coauthVersionLast="47" xr6:coauthVersionMax="47" xr10:uidLastSave="{00000000-0000-0000-0000-000000000000}"/>
  <bookViews>
    <workbookView xWindow="-108" yWindow="-108" windowWidth="23256" windowHeight="12456" tabRatio="917" xr2:uid="{49B7CBF6-5F37-48A2-93A4-8AEAA98007F7}"/>
  </bookViews>
  <sheets>
    <sheet name="Cover" sheetId="8" r:id="rId1"/>
    <sheet name="Assumptions" sheetId="1" r:id="rId2"/>
    <sheet name="Scenarios" sheetId="10" r:id="rId3"/>
    <sheet name="Historical" sheetId="2" r:id="rId4"/>
    <sheet name="IS_Forecast" sheetId="3" r:id="rId5"/>
    <sheet name="BS_Forecast" sheetId="4" r:id="rId6"/>
    <sheet name="CFS_Forecast" sheetId="5" r:id="rId7"/>
    <sheet name="DCF_Valuation" sheetId="7" r:id="rId8"/>
    <sheet name="Comps" sheetId="11" r:id="rId9"/>
    <sheet name="Credit_Metrics" sheetId="12" r:id="rId10"/>
    <sheet name="Sentiment" sheetId="13" r:id="rId11"/>
  </sheets>
  <definedNames>
    <definedName name="_xlnm.Print_Area" localSheetId="1">Assumptions!$A$1:$F$69</definedName>
    <definedName name="_xlnm.Print_Area" localSheetId="5">BS_Forecast!$A$1:$G$32</definedName>
    <definedName name="_xlnm.Print_Area" localSheetId="6">CFS_Forecast!$A$1:$G$30</definedName>
    <definedName name="_xlnm.Print_Area" localSheetId="8">Comps!$A$1:$P$28</definedName>
    <definedName name="_xlnm.Print_Area" localSheetId="0">Cover!$B$2:$L$38</definedName>
    <definedName name="_xlnm.Print_Area" localSheetId="9">Credit_Metrics!$A$1:$I$53</definedName>
    <definedName name="_xlnm.Print_Area" localSheetId="7">DCF_Valuation!$A$1:$H$101</definedName>
    <definedName name="_xlnm.Print_Area" localSheetId="3">Historical!$A$1:$F$78</definedName>
    <definedName name="_xlnm.Print_Area" localSheetId="4">IS_Forecast!$A$1:$G$20</definedName>
    <definedName name="_xlnm.Print_Area" localSheetId="2">Scenarios!$A$1:$D$32</definedName>
    <definedName name="_xlnm.Print_Area" localSheetId="10">Sentiment!$A$1:$H$74</definedName>
  </definedNames>
  <calcPr calcId="191029"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 i="4" l="1"/>
  <c r="G4" i="3"/>
  <c r="C65" i="13" l="1"/>
  <c r="D63" i="13"/>
  <c r="D64" i="13"/>
  <c r="D61" i="13"/>
  <c r="B64" i="13"/>
  <c r="B63" i="13"/>
  <c r="B61" i="13"/>
  <c r="B57" i="13"/>
  <c r="B56" i="13"/>
  <c r="B55" i="13"/>
  <c r="G47" i="13"/>
  <c r="G48" i="13"/>
  <c r="G49" i="13"/>
  <c r="G50" i="13"/>
  <c r="G51" i="13"/>
  <c r="G52" i="13"/>
  <c r="G53" i="13"/>
  <c r="G46" i="13"/>
  <c r="F47" i="13"/>
  <c r="F48" i="13"/>
  <c r="F49" i="13"/>
  <c r="F50" i="13"/>
  <c r="F51" i="13"/>
  <c r="F52" i="13"/>
  <c r="F53" i="13"/>
  <c r="F46" i="13"/>
  <c r="E42" i="13"/>
  <c r="D42" i="13"/>
  <c r="H15" i="13"/>
  <c r="G15" i="13"/>
  <c r="G9" i="13"/>
  <c r="G10" i="13"/>
  <c r="G11" i="13"/>
  <c r="G12" i="13"/>
  <c r="G13" i="13"/>
  <c r="G8" i="13"/>
  <c r="G14" i="13"/>
  <c r="B48" i="12"/>
  <c r="B47" i="12"/>
  <c r="B45" i="12"/>
  <c r="B37" i="12"/>
  <c r="B32" i="12"/>
  <c r="B29" i="12"/>
  <c r="B28" i="12"/>
  <c r="B30" i="12" s="1"/>
  <c r="B51" i="12" s="1"/>
  <c r="B25" i="12"/>
  <c r="B24" i="12"/>
  <c r="B23" i="12"/>
  <c r="B22" i="12"/>
  <c r="B18" i="12"/>
  <c r="B17" i="12"/>
  <c r="G16" i="12"/>
  <c r="F16" i="12"/>
  <c r="E16" i="12"/>
  <c r="D16" i="12"/>
  <c r="C16" i="12"/>
  <c r="B16" i="12"/>
  <c r="G15" i="12"/>
  <c r="F15" i="12"/>
  <c r="E15" i="12"/>
  <c r="D15" i="12"/>
  <c r="C15" i="12"/>
  <c r="B15" i="12"/>
  <c r="B12" i="12"/>
  <c r="B11" i="12"/>
  <c r="B9" i="12"/>
  <c r="B8" i="12"/>
  <c r="B7" i="12"/>
  <c r="D8" i="11"/>
  <c r="C28" i="11"/>
  <c r="B28" i="11"/>
  <c r="C27" i="11"/>
  <c r="B27" i="11"/>
  <c r="C26" i="11"/>
  <c r="B26" i="11"/>
  <c r="K18" i="11"/>
  <c r="L18" i="11"/>
  <c r="M18" i="11"/>
  <c r="J18" i="11"/>
  <c r="K17" i="11"/>
  <c r="L17" i="11"/>
  <c r="M17" i="11"/>
  <c r="J17" i="11"/>
  <c r="K16" i="11"/>
  <c r="L16" i="11"/>
  <c r="M16" i="11"/>
  <c r="N16" i="11"/>
  <c r="O16" i="11"/>
  <c r="P16" i="11"/>
  <c r="J16" i="11"/>
  <c r="K15" i="11"/>
  <c r="L15" i="11"/>
  <c r="M15" i="11"/>
  <c r="N15" i="11"/>
  <c r="O15" i="11"/>
  <c r="P15" i="11"/>
  <c r="J15" i="11"/>
  <c r="P10" i="11"/>
  <c r="P11" i="11"/>
  <c r="P12" i="11"/>
  <c r="P13" i="11"/>
  <c r="M10" i="11"/>
  <c r="M11" i="11"/>
  <c r="M12" i="11"/>
  <c r="M13" i="11"/>
  <c r="L10" i="11"/>
  <c r="L11" i="11"/>
  <c r="L12" i="11"/>
  <c r="L13" i="11"/>
  <c r="K10" i="11"/>
  <c r="K11" i="11"/>
  <c r="K12" i="11"/>
  <c r="K13" i="11"/>
  <c r="J10" i="11"/>
  <c r="J11" i="11"/>
  <c r="J12" i="11"/>
  <c r="J13" i="11"/>
  <c r="P9" i="11"/>
  <c r="M9" i="11"/>
  <c r="L9" i="11"/>
  <c r="K9" i="11"/>
  <c r="J9" i="11"/>
  <c r="B4" i="3"/>
  <c r="B49" i="1"/>
  <c r="D28" i="8" s="1"/>
  <c r="B53" i="1"/>
  <c r="B26" i="7" s="1"/>
  <c r="B50" i="1"/>
  <c r="D29" i="8" s="1"/>
  <c r="F14" i="1"/>
  <c r="E14" i="1"/>
  <c r="D14" i="1"/>
  <c r="C14" i="1"/>
  <c r="B14" i="1"/>
  <c r="B9" i="1"/>
  <c r="G5" i="3" s="1"/>
  <c r="B8" i="1"/>
  <c r="F5" i="3" s="1"/>
  <c r="B7" i="1"/>
  <c r="E5" i="3" s="1"/>
  <c r="B6" i="1"/>
  <c r="D5" i="3" s="1"/>
  <c r="B5" i="1"/>
  <c r="H6" i="8"/>
  <c r="G100" i="7"/>
  <c r="F100" i="7"/>
  <c r="E101" i="7"/>
  <c r="E100" i="7"/>
  <c r="E99" i="7"/>
  <c r="E98" i="7"/>
  <c r="C99" i="7"/>
  <c r="C98" i="7"/>
  <c r="B99" i="7"/>
  <c r="F99" i="7" s="1"/>
  <c r="B98" i="7"/>
  <c r="F98" i="7" s="1"/>
  <c r="B68" i="7"/>
  <c r="H101" i="7" s="1"/>
  <c r="B63" i="7"/>
  <c r="B56" i="7"/>
  <c r="B54" i="7"/>
  <c r="B53" i="7"/>
  <c r="F19" i="7"/>
  <c r="E19" i="7"/>
  <c r="D19" i="7"/>
  <c r="C19" i="7"/>
  <c r="B19" i="7"/>
  <c r="B17" i="7"/>
  <c r="F7" i="7"/>
  <c r="E7" i="7"/>
  <c r="D7" i="7"/>
  <c r="C7" i="7"/>
  <c r="B7" i="7"/>
  <c r="G19" i="5"/>
  <c r="G29" i="12" s="1"/>
  <c r="F19" i="5"/>
  <c r="F29" i="12" s="1"/>
  <c r="E19" i="5"/>
  <c r="E29" i="12" s="1"/>
  <c r="D19" i="5"/>
  <c r="D29" i="12" s="1"/>
  <c r="C19" i="5"/>
  <c r="C29" i="12" s="1"/>
  <c r="C25" i="5"/>
  <c r="D20" i="5"/>
  <c r="E20" i="5"/>
  <c r="F20" i="5"/>
  <c r="G20" i="5"/>
  <c r="D14" i="5"/>
  <c r="E14" i="5"/>
  <c r="F14" i="5"/>
  <c r="G14" i="5"/>
  <c r="D27" i="4"/>
  <c r="E27" i="4"/>
  <c r="F27" i="4"/>
  <c r="G27" i="4"/>
  <c r="D22" i="4"/>
  <c r="E22" i="4"/>
  <c r="F22" i="4"/>
  <c r="G22" i="4"/>
  <c r="D21" i="4"/>
  <c r="E21" i="4"/>
  <c r="F21" i="4"/>
  <c r="G21" i="4"/>
  <c r="D19" i="4"/>
  <c r="E19" i="4"/>
  <c r="F19" i="4"/>
  <c r="G19" i="4"/>
  <c r="D13" i="4"/>
  <c r="E13" i="4"/>
  <c r="F13" i="4"/>
  <c r="G13" i="4"/>
  <c r="G12" i="4"/>
  <c r="F12" i="4"/>
  <c r="E12" i="4"/>
  <c r="D12" i="4"/>
  <c r="C12" i="4"/>
  <c r="G11" i="4"/>
  <c r="F11" i="4"/>
  <c r="E11" i="4"/>
  <c r="D11" i="4"/>
  <c r="C11" i="4"/>
  <c r="C6" i="4"/>
  <c r="C13" i="5" s="1"/>
  <c r="G7" i="5"/>
  <c r="F7" i="5"/>
  <c r="E7" i="5"/>
  <c r="D7" i="5"/>
  <c r="C7" i="5"/>
  <c r="C20" i="5"/>
  <c r="C14" i="5"/>
  <c r="C27" i="4"/>
  <c r="C22" i="4"/>
  <c r="C21" i="4"/>
  <c r="C23" i="4" s="1"/>
  <c r="C19" i="4"/>
  <c r="C13" i="4"/>
  <c r="G18" i="3"/>
  <c r="F18" i="3"/>
  <c r="E18" i="3"/>
  <c r="D18" i="3"/>
  <c r="C18" i="3"/>
  <c r="G15" i="3"/>
  <c r="F15" i="3"/>
  <c r="E15" i="3"/>
  <c r="D15" i="3"/>
  <c r="C15" i="3"/>
  <c r="B17" i="3"/>
  <c r="B15" i="3"/>
  <c r="B12" i="3"/>
  <c r="B9" i="3"/>
  <c r="B5" i="3"/>
  <c r="B52" i="12" s="1"/>
  <c r="B6" i="3"/>
  <c r="C78" i="2"/>
  <c r="D78" i="2"/>
  <c r="E78" i="2"/>
  <c r="F78" i="2"/>
  <c r="B78" i="2"/>
  <c r="C77" i="2"/>
  <c r="D77" i="2"/>
  <c r="E77" i="2"/>
  <c r="F77" i="2"/>
  <c r="B77" i="2"/>
  <c r="C75" i="2"/>
  <c r="B75" i="2"/>
  <c r="C74" i="2" s="1"/>
  <c r="D74" i="2"/>
  <c r="D75" i="2" s="1"/>
  <c r="E74" i="2" s="1"/>
  <c r="E75" i="2" s="1"/>
  <c r="F74" i="2" s="1"/>
  <c r="F75" i="2" s="1"/>
  <c r="C73" i="2"/>
  <c r="D73" i="2"/>
  <c r="E73" i="2"/>
  <c r="F73" i="2"/>
  <c r="B73" i="2"/>
  <c r="C70" i="2"/>
  <c r="D70" i="2"/>
  <c r="E70" i="2"/>
  <c r="F70" i="2"/>
  <c r="B70" i="2"/>
  <c r="C64" i="2"/>
  <c r="D64" i="2"/>
  <c r="E64" i="2"/>
  <c r="F64" i="2"/>
  <c r="B64" i="2"/>
  <c r="C58" i="2"/>
  <c r="D58" i="2"/>
  <c r="E58" i="2"/>
  <c r="F58" i="2"/>
  <c r="B58" i="2"/>
  <c r="C48" i="2"/>
  <c r="D48" i="2"/>
  <c r="E48" i="2"/>
  <c r="F48" i="2"/>
  <c r="B48" i="2"/>
  <c r="C42" i="2"/>
  <c r="D42" i="2"/>
  <c r="D43" i="2" s="1"/>
  <c r="D49" i="2" s="1"/>
  <c r="E42" i="2"/>
  <c r="E43" i="2" s="1"/>
  <c r="E49" i="2" s="1"/>
  <c r="F42" i="2"/>
  <c r="F43" i="2" s="1"/>
  <c r="F49" i="2" s="1"/>
  <c r="B42" i="2"/>
  <c r="B43" i="2" s="1"/>
  <c r="B49" i="2" s="1"/>
  <c r="C39" i="2"/>
  <c r="C43" i="2" s="1"/>
  <c r="C49" i="2" s="1"/>
  <c r="D39" i="2"/>
  <c r="E39" i="2"/>
  <c r="F39" i="2"/>
  <c r="B39" i="2"/>
  <c r="E34" i="2"/>
  <c r="F34" i="2"/>
  <c r="C33" i="2"/>
  <c r="C34" i="2" s="1"/>
  <c r="D33" i="2"/>
  <c r="D34" i="2" s="1"/>
  <c r="D50" i="2" s="1"/>
  <c r="E33" i="2"/>
  <c r="F33" i="2"/>
  <c r="B33" i="2"/>
  <c r="B34" i="2" s="1"/>
  <c r="B50" i="2" s="1"/>
  <c r="C28" i="2"/>
  <c r="D28" i="2"/>
  <c r="E28" i="2"/>
  <c r="F28" i="2"/>
  <c r="B28" i="2"/>
  <c r="C10" i="2"/>
  <c r="C13" i="2" s="1"/>
  <c r="B10" i="2"/>
  <c r="B13" i="2" s="1"/>
  <c r="F8" i="2"/>
  <c r="C7" i="2"/>
  <c r="C8" i="2" s="1"/>
  <c r="D7" i="2"/>
  <c r="D10" i="2" s="1"/>
  <c r="E7" i="2"/>
  <c r="E8" i="2" s="1"/>
  <c r="F7" i="2"/>
  <c r="F10" i="2" s="1"/>
  <c r="B7" i="2"/>
  <c r="B8" i="2" s="1"/>
  <c r="F5" i="2"/>
  <c r="E5" i="2"/>
  <c r="D5" i="2"/>
  <c r="C5" i="2"/>
  <c r="B46" i="1"/>
  <c r="O8" i="11" l="1"/>
  <c r="O20" i="11" s="1"/>
  <c r="B7" i="3"/>
  <c r="F8" i="11"/>
  <c r="B36" i="12"/>
  <c r="D23" i="4"/>
  <c r="E8" i="11"/>
  <c r="E23" i="4"/>
  <c r="G23" i="4"/>
  <c r="F23" i="4"/>
  <c r="D6" i="4"/>
  <c r="B101" i="7"/>
  <c r="F101" i="7" s="1"/>
  <c r="H98" i="7"/>
  <c r="N8" i="11"/>
  <c r="N20" i="11" s="1"/>
  <c r="H99" i="7"/>
  <c r="H100" i="7"/>
  <c r="C101" i="7"/>
  <c r="G101" i="7" s="1"/>
  <c r="B10" i="3"/>
  <c r="B8" i="3"/>
  <c r="C4" i="3"/>
  <c r="B25" i="7"/>
  <c r="F74" i="7" s="1"/>
  <c r="B15" i="7"/>
  <c r="C85" i="7"/>
  <c r="F85" i="7"/>
  <c r="E85" i="7"/>
  <c r="D85" i="7"/>
  <c r="B85" i="7"/>
  <c r="C5" i="3"/>
  <c r="G98" i="7"/>
  <c r="G99" i="7"/>
  <c r="C50" i="2"/>
  <c r="F50" i="2"/>
  <c r="E50" i="2"/>
  <c r="B11" i="2"/>
  <c r="C14" i="2"/>
  <c r="C16" i="2"/>
  <c r="F13" i="2"/>
  <c r="F11" i="2"/>
  <c r="D13" i="2"/>
  <c r="D11" i="2"/>
  <c r="B14" i="2"/>
  <c r="B16" i="2"/>
  <c r="C11" i="2"/>
  <c r="D8" i="2"/>
  <c r="E10" i="2"/>
  <c r="B10" i="12" l="1"/>
  <c r="B46" i="12" s="1"/>
  <c r="G8" i="11"/>
  <c r="D26" i="11" s="1"/>
  <c r="E26" i="11" s="1"/>
  <c r="F26" i="11" s="1"/>
  <c r="G26" i="11" s="1"/>
  <c r="D74" i="7"/>
  <c r="K8" i="11"/>
  <c r="K20" i="11" s="1"/>
  <c r="K22" i="11" s="1"/>
  <c r="B74" i="7"/>
  <c r="J8" i="11"/>
  <c r="J20" i="11" s="1"/>
  <c r="J21" i="11" s="1"/>
  <c r="C12" i="3"/>
  <c r="B9" i="7" s="1"/>
  <c r="B20" i="13"/>
  <c r="B21" i="13" s="1"/>
  <c r="E6" i="4"/>
  <c r="D13" i="5"/>
  <c r="D4" i="3"/>
  <c r="C7" i="4"/>
  <c r="C8" i="4"/>
  <c r="C12" i="5"/>
  <c r="C15" i="5" s="1"/>
  <c r="C6" i="3"/>
  <c r="C18" i="4" s="1"/>
  <c r="C20" i="4" s="1"/>
  <c r="C24" i="4" s="1"/>
  <c r="C74" i="7"/>
  <c r="E74" i="7"/>
  <c r="B13" i="3"/>
  <c r="B11" i="3"/>
  <c r="P8" i="11" s="1"/>
  <c r="P20" i="11" s="1"/>
  <c r="C73" i="7"/>
  <c r="C77" i="7" s="1"/>
  <c r="C20" i="7"/>
  <c r="B73" i="7"/>
  <c r="B77" i="7" s="1"/>
  <c r="B20" i="7"/>
  <c r="B31" i="7"/>
  <c r="F73" i="7"/>
  <c r="F77" i="7" s="1"/>
  <c r="F20" i="7"/>
  <c r="E73" i="7"/>
  <c r="E77" i="7" s="1"/>
  <c r="E20" i="7"/>
  <c r="D73" i="7"/>
  <c r="D77" i="7" s="1"/>
  <c r="D20" i="7"/>
  <c r="C7" i="3"/>
  <c r="E13" i="2"/>
  <c r="E11" i="2"/>
  <c r="B18" i="2"/>
  <c r="B19" i="2"/>
  <c r="B20" i="2" s="1"/>
  <c r="F14" i="2"/>
  <c r="F16" i="2"/>
  <c r="D16" i="2"/>
  <c r="D14" i="2"/>
  <c r="C19" i="2"/>
  <c r="C20" i="2" s="1"/>
  <c r="C18" i="2"/>
  <c r="H8" i="11" l="1"/>
  <c r="B41" i="12"/>
  <c r="B50" i="12" s="1"/>
  <c r="J22" i="11"/>
  <c r="C6" i="5"/>
  <c r="K21" i="11"/>
  <c r="C8" i="5"/>
  <c r="B11" i="7" s="1"/>
  <c r="D8" i="4"/>
  <c r="C20" i="13"/>
  <c r="C21" i="13" s="1"/>
  <c r="F6" i="4"/>
  <c r="E13" i="5"/>
  <c r="D12" i="3"/>
  <c r="D6" i="5" s="1"/>
  <c r="E4" i="3"/>
  <c r="E7" i="4" s="1"/>
  <c r="D12" i="5"/>
  <c r="C10" i="7" s="1"/>
  <c r="D6" i="3"/>
  <c r="D18" i="4" s="1"/>
  <c r="D20" i="4" s="1"/>
  <c r="D24" i="4" s="1"/>
  <c r="D7" i="4"/>
  <c r="B10" i="7"/>
  <c r="C10" i="4"/>
  <c r="B14" i="3"/>
  <c r="B16" i="3"/>
  <c r="C9" i="3"/>
  <c r="C10" i="3" s="1"/>
  <c r="C8" i="3"/>
  <c r="F19" i="2"/>
  <c r="F20" i="2" s="1"/>
  <c r="F18" i="2"/>
  <c r="D18" i="2"/>
  <c r="D19" i="2"/>
  <c r="D20" i="2" s="1"/>
  <c r="E16" i="2"/>
  <c r="E14" i="2"/>
  <c r="D27" i="11" l="1"/>
  <c r="E27" i="11" s="1"/>
  <c r="F27" i="11" s="1"/>
  <c r="G27" i="11" s="1"/>
  <c r="L8" i="11"/>
  <c r="L20" i="11" s="1"/>
  <c r="D8" i="5"/>
  <c r="C11" i="7" s="1"/>
  <c r="G6" i="4"/>
  <c r="G13" i="5" s="1"/>
  <c r="F13" i="5"/>
  <c r="E8" i="4"/>
  <c r="D20" i="13"/>
  <c r="D21" i="13" s="1"/>
  <c r="E6" i="3"/>
  <c r="E18" i="4" s="1"/>
  <c r="E20" i="4" s="1"/>
  <c r="E24" i="4" s="1"/>
  <c r="D7" i="3"/>
  <c r="D8" i="3" s="1"/>
  <c r="E12" i="5"/>
  <c r="D10" i="7" s="1"/>
  <c r="E12" i="3"/>
  <c r="E6" i="5" s="1"/>
  <c r="D15" i="5"/>
  <c r="D10" i="4"/>
  <c r="D14" i="4" s="1"/>
  <c r="C9" i="7"/>
  <c r="C14" i="4"/>
  <c r="F4" i="3"/>
  <c r="B19" i="3"/>
  <c r="B18" i="3"/>
  <c r="C11" i="3"/>
  <c r="B23" i="13" s="1"/>
  <c r="B24" i="13" s="1"/>
  <c r="C13" i="3"/>
  <c r="C41" i="12" s="1"/>
  <c r="E18" i="2"/>
  <c r="E19" i="2"/>
  <c r="E20" i="2" s="1"/>
  <c r="D9" i="3" l="1"/>
  <c r="D10" i="3" s="1"/>
  <c r="B20" i="3"/>
  <c r="I8" i="11"/>
  <c r="B35" i="12"/>
  <c r="B38" i="12" s="1"/>
  <c r="B40" i="12"/>
  <c r="B39" i="12"/>
  <c r="B31" i="12"/>
  <c r="B49" i="12" s="1"/>
  <c r="L22" i="11"/>
  <c r="L21" i="11"/>
  <c r="E15" i="5"/>
  <c r="E8" i="5"/>
  <c r="D11" i="7" s="1"/>
  <c r="E7" i="3"/>
  <c r="E8" i="3" s="1"/>
  <c r="D9" i="7"/>
  <c r="F7" i="4"/>
  <c r="D25" i="8"/>
  <c r="E10" i="4"/>
  <c r="E14" i="4" s="1"/>
  <c r="F8" i="4"/>
  <c r="F12" i="5"/>
  <c r="F15" i="5" s="1"/>
  <c r="F6" i="3"/>
  <c r="F18" i="4" s="1"/>
  <c r="F20" i="4" s="1"/>
  <c r="F24" i="4" s="1"/>
  <c r="F12" i="3"/>
  <c r="F10" i="4" s="1"/>
  <c r="D11" i="3"/>
  <c r="C23" i="13" s="1"/>
  <c r="C24" i="13" s="1"/>
  <c r="D13" i="3"/>
  <c r="D41" i="12" s="1"/>
  <c r="B6" i="7"/>
  <c r="B8" i="7" s="1"/>
  <c r="B12" i="7" s="1"/>
  <c r="B21" i="7" s="1"/>
  <c r="C16" i="3"/>
  <c r="C14" i="3"/>
  <c r="E28" i="11" l="1"/>
  <c r="F28" i="11" s="1"/>
  <c r="G28" i="11" s="1"/>
  <c r="M8" i="11"/>
  <c r="M20" i="11" s="1"/>
  <c r="E10" i="7"/>
  <c r="G8" i="4"/>
  <c r="G6" i="3"/>
  <c r="G18" i="4" s="1"/>
  <c r="G20" i="4" s="1"/>
  <c r="G24" i="4" s="1"/>
  <c r="F6" i="5"/>
  <c r="G12" i="5"/>
  <c r="F10" i="7" s="1"/>
  <c r="E9" i="7"/>
  <c r="G12" i="3"/>
  <c r="G6" i="5" s="1"/>
  <c r="E9" i="3"/>
  <c r="E10" i="3" s="1"/>
  <c r="E11" i="3" s="1"/>
  <c r="D23" i="13" s="1"/>
  <c r="D24" i="13" s="1"/>
  <c r="G7" i="4"/>
  <c r="F8" i="5"/>
  <c r="E11" i="7" s="1"/>
  <c r="F7" i="3"/>
  <c r="F9" i="3" s="1"/>
  <c r="F10" i="3" s="1"/>
  <c r="F14" i="4"/>
  <c r="C6" i="7"/>
  <c r="C8" i="7" s="1"/>
  <c r="C12" i="7" s="1"/>
  <c r="C21" i="7" s="1"/>
  <c r="D14" i="3"/>
  <c r="D16" i="3"/>
  <c r="C17" i="3"/>
  <c r="C19" i="3" s="1"/>
  <c r="G8" i="5" l="1"/>
  <c r="F11" i="7" s="1"/>
  <c r="G7" i="3"/>
  <c r="G9" i="3" s="1"/>
  <c r="G10" i="3" s="1"/>
  <c r="M21" i="11"/>
  <c r="M22" i="11"/>
  <c r="F9" i="7"/>
  <c r="F8" i="3"/>
  <c r="G15" i="5"/>
  <c r="G10" i="4"/>
  <c r="G14" i="4" s="1"/>
  <c r="E13" i="3"/>
  <c r="B26" i="13"/>
  <c r="B27" i="13" s="1"/>
  <c r="C35" i="12"/>
  <c r="D17" i="3"/>
  <c r="D19" i="3" s="1"/>
  <c r="C18" i="5"/>
  <c r="C20" i="3"/>
  <c r="C5" i="5"/>
  <c r="C9" i="5" s="1"/>
  <c r="C28" i="5" s="1"/>
  <c r="G8" i="3"/>
  <c r="F11" i="3"/>
  <c r="F13" i="3"/>
  <c r="F41" i="12" s="1"/>
  <c r="C18" i="12" l="1"/>
  <c r="C17" i="12"/>
  <c r="C21" i="5"/>
  <c r="C32" i="12"/>
  <c r="C28" i="12"/>
  <c r="C30" i="12" s="1"/>
  <c r="C31" i="12"/>
  <c r="C26" i="13"/>
  <c r="C27" i="13" s="1"/>
  <c r="D35" i="12"/>
  <c r="E41" i="12"/>
  <c r="E16" i="3"/>
  <c r="E17" i="3" s="1"/>
  <c r="E19" i="3" s="1"/>
  <c r="E20" i="3" s="1"/>
  <c r="D6" i="7"/>
  <c r="D8" i="7" s="1"/>
  <c r="D12" i="7" s="1"/>
  <c r="D21" i="7" s="1"/>
  <c r="E14" i="3"/>
  <c r="G11" i="3"/>
  <c r="D26" i="8" s="1"/>
  <c r="B35" i="7"/>
  <c r="B36" i="7" s="1"/>
  <c r="B37" i="7" s="1"/>
  <c r="G13" i="3"/>
  <c r="G41" i="12" s="1"/>
  <c r="D20" i="3"/>
  <c r="D5" i="5"/>
  <c r="D9" i="5" s="1"/>
  <c r="D28" i="5" s="1"/>
  <c r="D18" i="5"/>
  <c r="C28" i="4"/>
  <c r="C30" i="5"/>
  <c r="C29" i="5"/>
  <c r="F16" i="3"/>
  <c r="E6" i="7"/>
  <c r="E8" i="7" s="1"/>
  <c r="E12" i="7" s="1"/>
  <c r="E21" i="7" s="1"/>
  <c r="F14" i="3"/>
  <c r="D18" i="12" l="1"/>
  <c r="D17" i="12"/>
  <c r="E35" i="12"/>
  <c r="D26" i="13"/>
  <c r="D27" i="13" s="1"/>
  <c r="B62" i="13" s="1"/>
  <c r="D62" i="13" s="1"/>
  <c r="B67" i="13" s="1"/>
  <c r="C67" i="13" s="1"/>
  <c r="E18" i="5"/>
  <c r="E5" i="5"/>
  <c r="E9" i="5" s="1"/>
  <c r="E28" i="5" s="1"/>
  <c r="D21" i="5"/>
  <c r="D31" i="12"/>
  <c r="D32" i="12"/>
  <c r="D28" i="12"/>
  <c r="D30" i="12" s="1"/>
  <c r="D29" i="5"/>
  <c r="D30" i="5"/>
  <c r="G16" i="3"/>
  <c r="F6" i="7"/>
  <c r="F8" i="7" s="1"/>
  <c r="F12" i="7" s="1"/>
  <c r="G14" i="3"/>
  <c r="D28" i="4"/>
  <c r="C29" i="4"/>
  <c r="B49" i="7"/>
  <c r="F17" i="3"/>
  <c r="F19" i="3" s="1"/>
  <c r="C22" i="12" l="1"/>
  <c r="C39" i="12"/>
  <c r="E18" i="12"/>
  <c r="E17" i="12"/>
  <c r="E29" i="5"/>
  <c r="E21" i="5"/>
  <c r="E31" i="12"/>
  <c r="E32" i="12"/>
  <c r="E28" i="12"/>
  <c r="E30" i="12" s="1"/>
  <c r="E30" i="5"/>
  <c r="F35" i="12"/>
  <c r="C30" i="4"/>
  <c r="C5" i="4"/>
  <c r="C9" i="12" s="1"/>
  <c r="G17" i="3"/>
  <c r="G19" i="3" s="1"/>
  <c r="F20" i="3"/>
  <c r="F18" i="5"/>
  <c r="F5" i="5"/>
  <c r="F9" i="5" s="1"/>
  <c r="F28" i="5" s="1"/>
  <c r="E28" i="4"/>
  <c r="D29" i="4"/>
  <c r="B27" i="7"/>
  <c r="B30" i="7" s="1"/>
  <c r="F21" i="7"/>
  <c r="G35" i="12" l="1"/>
  <c r="D22" i="12"/>
  <c r="D39" i="12"/>
  <c r="F18" i="12"/>
  <c r="F17" i="12"/>
  <c r="F21" i="5"/>
  <c r="F31" i="12"/>
  <c r="F28" i="12"/>
  <c r="F30" i="12" s="1"/>
  <c r="F32" i="12"/>
  <c r="C10" i="12"/>
  <c r="C11" i="12"/>
  <c r="C24" i="12"/>
  <c r="C23" i="12"/>
  <c r="F22" i="7"/>
  <c r="E22" i="7"/>
  <c r="C22" i="7"/>
  <c r="D22" i="7"/>
  <c r="B22" i="7"/>
  <c r="B40" i="7"/>
  <c r="B32" i="7"/>
  <c r="D5" i="4"/>
  <c r="D30" i="4"/>
  <c r="F30" i="5"/>
  <c r="F29" i="5"/>
  <c r="G20" i="3"/>
  <c r="G18" i="5"/>
  <c r="G5" i="5"/>
  <c r="G9" i="5" s="1"/>
  <c r="G28" i="5" s="1"/>
  <c r="C9" i="4"/>
  <c r="C23" i="5"/>
  <c r="C24" i="5" s="1"/>
  <c r="C26" i="5" s="1"/>
  <c r="D25" i="5" s="1"/>
  <c r="F28" i="4"/>
  <c r="E29" i="4"/>
  <c r="G18" i="12" l="1"/>
  <c r="G17" i="12"/>
  <c r="G21" i="5"/>
  <c r="G28" i="12"/>
  <c r="G30" i="12" s="1"/>
  <c r="G31" i="12"/>
  <c r="G32" i="12"/>
  <c r="E22" i="12"/>
  <c r="E39" i="12"/>
  <c r="D23" i="12"/>
  <c r="D24" i="12"/>
  <c r="C15" i="4"/>
  <c r="C12" i="12" s="1"/>
  <c r="C8" i="12"/>
  <c r="C7" i="12"/>
  <c r="D9" i="4"/>
  <c r="D9" i="12"/>
  <c r="B46" i="7"/>
  <c r="B50" i="7" s="1"/>
  <c r="B43" i="7"/>
  <c r="D23" i="5"/>
  <c r="D24" i="5" s="1"/>
  <c r="D26" i="5" s="1"/>
  <c r="E25" i="5" s="1"/>
  <c r="D27" i="8"/>
  <c r="G29" i="5"/>
  <c r="G30" i="5"/>
  <c r="E5" i="4"/>
  <c r="E30" i="4"/>
  <c r="G28" i="4"/>
  <c r="G29" i="4" s="1"/>
  <c r="F29" i="4"/>
  <c r="B42" i="7"/>
  <c r="B47" i="7"/>
  <c r="F22" i="12" l="1"/>
  <c r="F39" i="12"/>
  <c r="D11" i="12"/>
  <c r="D10" i="12"/>
  <c r="E9" i="4"/>
  <c r="E9" i="12"/>
  <c r="C32" i="4"/>
  <c r="C37" i="12"/>
  <c r="C36" i="12"/>
  <c r="C38" i="12" s="1"/>
  <c r="C40" i="12"/>
  <c r="C25" i="12"/>
  <c r="E23" i="12"/>
  <c r="E24" i="12"/>
  <c r="G22" i="12"/>
  <c r="G39" i="12"/>
  <c r="D15" i="4"/>
  <c r="D8" i="12"/>
  <c r="D7" i="12"/>
  <c r="B48" i="7"/>
  <c r="B59" i="7" s="1"/>
  <c r="B64" i="7" s="1"/>
  <c r="D23" i="8" s="1"/>
  <c r="D24" i="8"/>
  <c r="B60" i="7"/>
  <c r="B65" i="7" s="1"/>
  <c r="F9" i="12"/>
  <c r="F30" i="4"/>
  <c r="G5" i="4"/>
  <c r="G9" i="12" s="1"/>
  <c r="G30" i="4"/>
  <c r="E23" i="5"/>
  <c r="E24" i="5" s="1"/>
  <c r="E26" i="5" s="1"/>
  <c r="F25" i="5" s="1"/>
  <c r="E15" i="4" l="1"/>
  <c r="E7" i="12"/>
  <c r="E8" i="12"/>
  <c r="D12" i="12"/>
  <c r="D32" i="4"/>
  <c r="D37" i="12"/>
  <c r="D36" i="12"/>
  <c r="D38" i="12" s="1"/>
  <c r="D40" i="12"/>
  <c r="D25" i="12"/>
  <c r="G23" i="12"/>
  <c r="G24" i="12"/>
  <c r="F11" i="12"/>
  <c r="F10" i="12"/>
  <c r="E10" i="12"/>
  <c r="E11" i="12"/>
  <c r="G11" i="12"/>
  <c r="G10" i="12"/>
  <c r="F24" i="12"/>
  <c r="F23" i="12"/>
  <c r="A78" i="7"/>
  <c r="B69" i="7"/>
  <c r="D22" i="8"/>
  <c r="B70" i="7"/>
  <c r="A88" i="7"/>
  <c r="G9" i="4"/>
  <c r="F9" i="4"/>
  <c r="F23" i="5"/>
  <c r="F24" i="5" s="1"/>
  <c r="F26" i="5" s="1"/>
  <c r="G25" i="5" s="1"/>
  <c r="G23" i="5" s="1"/>
  <c r="G24" i="5" s="1"/>
  <c r="G26" i="5" s="1"/>
  <c r="F15" i="4" l="1"/>
  <c r="F8" i="12"/>
  <c r="F7" i="12"/>
  <c r="G15" i="4"/>
  <c r="G8" i="12"/>
  <c r="G7" i="12"/>
  <c r="E12" i="12"/>
  <c r="E32" i="4"/>
  <c r="E37" i="12"/>
  <c r="E36" i="12"/>
  <c r="E38" i="12" s="1"/>
  <c r="E40" i="12"/>
  <c r="E25" i="12"/>
  <c r="F32" i="4" l="1"/>
  <c r="F37" i="12"/>
  <c r="F36" i="12"/>
  <c r="F40" i="12"/>
  <c r="F25" i="12"/>
  <c r="G32" i="4"/>
  <c r="G37" i="12"/>
  <c r="G36" i="12"/>
  <c r="G40" i="12"/>
  <c r="G25" i="12"/>
  <c r="G12" i="12"/>
  <c r="F12" i="12"/>
  <c r="F38" i="12" l="1"/>
  <c r="G38" i="12"/>
</calcChain>
</file>

<file path=xl/sharedStrings.xml><?xml version="1.0" encoding="utf-8"?>
<sst xmlns="http://schemas.openxmlformats.org/spreadsheetml/2006/main" count="709" uniqueCount="519">
  <si>
    <t>MODEL ASSUMPTIONS — INFOSYS LTD</t>
  </si>
  <si>
    <t>All figures in ₹ Crores unless stated</t>
  </si>
  <si>
    <t>FY2025E Revenue Growth Rate</t>
  </si>
  <si>
    <t>Muted discretionary; guided 1-3% CC</t>
  </si>
  <si>
    <t>FY2026E Revenue Growth Rate</t>
  </si>
  <si>
    <t>FY2027E Revenue Growth Rate</t>
  </si>
  <si>
    <t>FY2028E Revenue Growth Rate</t>
  </si>
  <si>
    <t>Steady-state digital transformation</t>
  </si>
  <si>
    <t>FY2029E Revenue Growth Rate</t>
  </si>
  <si>
    <t>Base Revenue (FY2024A)</t>
  </si>
  <si>
    <t>Actual FY2024 revenue (₹ Cr)</t>
  </si>
  <si>
    <t>BFSI recovery; medga deal ramp-ups</t>
  </si>
  <si>
    <t>GenAi services acceleration</t>
  </si>
  <si>
    <t xml:space="preserve">Maturation; base effect deceleration </t>
  </si>
  <si>
    <t>Margin Assumptions</t>
  </si>
  <si>
    <t>Revenue Growth Assumptions</t>
  </si>
  <si>
    <t>FY2025E</t>
  </si>
  <si>
    <t>FY2026E</t>
  </si>
  <si>
    <t>FY2027E</t>
  </si>
  <si>
    <t>FY2028E</t>
  </si>
  <si>
    <t>FY2029E</t>
  </si>
  <si>
    <t>Gross Margin</t>
  </si>
  <si>
    <t>EBITDA Margin</t>
  </si>
  <si>
    <t>D&amp;A(% of Revenue)</t>
  </si>
  <si>
    <t>EBIT Margin</t>
  </si>
  <si>
    <t>Other Income(₹Cr)</t>
  </si>
  <si>
    <t>Tax &amp; Cost Assumptions</t>
  </si>
  <si>
    <t>Effective Tax rate</t>
  </si>
  <si>
    <t>Stock-Based Compensation (FY25E start)</t>
  </si>
  <si>
    <t>SBC Annual Increment</t>
  </si>
  <si>
    <t>SEZ expirations, steady-state</t>
  </si>
  <si>
    <t>Grows ~₹40-₹60 Cr/yr</t>
  </si>
  <si>
    <t>₹ Cr per year</t>
  </si>
  <si>
    <t>CapEx &amp; Depreciation</t>
  </si>
  <si>
    <t>CapEx (% of Revenue)</t>
  </si>
  <si>
    <t>D&amp;A (% of Revenue)</t>
  </si>
  <si>
    <t>Working Capital Assumptions</t>
  </si>
  <si>
    <t>Days Sales Outstanding (DSO)</t>
  </si>
  <si>
    <t>Days Payable Outstanding (DPO)</t>
  </si>
  <si>
    <t>Unbilled Rev &amp; Other CA (%of Rev)</t>
  </si>
  <si>
    <t>Other CL Grwoth Rate</t>
  </si>
  <si>
    <t>Days; historical range 65-69</t>
  </si>
  <si>
    <t>Days; historical range 19-21</t>
  </si>
  <si>
    <t>Historical 6.5%-7.0%</t>
  </si>
  <si>
    <t>Approx growth</t>
  </si>
  <si>
    <t>Capital Return Assumptions</t>
  </si>
  <si>
    <t>Dividend Payout Ratio (% of NI)</t>
  </si>
  <si>
    <t>FY2025E Buyback</t>
  </si>
  <si>
    <t>FY2026E Buyback</t>
  </si>
  <si>
    <t>FY2027E Buyback</t>
  </si>
  <si>
    <t>FY2028E Buyback</t>
  </si>
  <si>
    <t>FY2029E Buyback</t>
  </si>
  <si>
    <t>Historical avg ~50-60%</t>
  </si>
  <si>
    <t>₹ Cr</t>
  </si>
  <si>
    <t>DCF Valuation Assumptions</t>
  </si>
  <si>
    <t>Risk Free Rate (India 10Y G-Sec)</t>
  </si>
  <si>
    <t>Equity Risk Premium</t>
  </si>
  <si>
    <t>Beta (levered)</t>
  </si>
  <si>
    <t>Cost of Equity (Ke)</t>
  </si>
  <si>
    <t>Cost of Debt (pre-tax)</t>
  </si>
  <si>
    <t>Debt/(Debt + Equity)</t>
  </si>
  <si>
    <t>WACC</t>
  </si>
  <si>
    <t>Terminal Growth Rate (g)</t>
  </si>
  <si>
    <t>Shares Outstanding (Cr)</t>
  </si>
  <si>
    <t>Current Market Price (₹)</t>
  </si>
  <si>
    <t>As of valuation date</t>
  </si>
  <si>
    <t>India ERP (Damodram)</t>
  </si>
  <si>
    <t>5-year monthly regression vs Nifty 50</t>
  </si>
  <si>
    <t>=B43 + B45 * B44</t>
  </si>
  <si>
    <t>Zero financial debt</t>
  </si>
  <si>
    <t>= ke (since D/Cap = 0)</t>
  </si>
  <si>
    <t>Nominal GDP-linked; IT sector premium</t>
  </si>
  <si>
    <t>~4,150 million shares</t>
  </si>
  <si>
    <t>As of valuation date (placeholder)</t>
  </si>
  <si>
    <t>Blance Sheet Supplemental Assumptions</t>
  </si>
  <si>
    <t>Current Investments Growth</t>
  </si>
  <si>
    <t>ROU Assets (₹ Cr)</t>
  </si>
  <si>
    <t>Goodwill &amp; Intangible (₹ Cr)</t>
  </si>
  <si>
    <t>Other NCA (₹ Cr)</t>
  </si>
  <si>
    <t>Other CL (₹ Cr)</t>
  </si>
  <si>
    <t>Lease Liabilities NCL (₹ Cr)</t>
  </si>
  <si>
    <t>Other NCL (₹ Cr)</t>
  </si>
  <si>
    <t>Share Capital (₹ Cr)</t>
  </si>
  <si>
    <t>Lease Payments &amp; Other CFF (₹ Cr)</t>
  </si>
  <si>
    <t>Acquisition Spend (₹ Cr)</t>
  </si>
  <si>
    <t>HISTORICAL FINANCIALS — INFOSYS LTD</t>
  </si>
  <si>
    <t>₹ Crores, IFRS Consolidated</t>
  </si>
  <si>
    <t>INCOME STATEMENT</t>
  </si>
  <si>
    <t>FY2020</t>
  </si>
  <si>
    <t>FY2021</t>
  </si>
  <si>
    <t>FY2022</t>
  </si>
  <si>
    <t>FY2023</t>
  </si>
  <si>
    <t>FY2024</t>
  </si>
  <si>
    <t>Revenue</t>
  </si>
  <si>
    <t>YoY Growth (%)</t>
  </si>
  <si>
    <t>Cost of Revenues</t>
  </si>
  <si>
    <t>Gross Profit</t>
  </si>
  <si>
    <t>Gross Margin (%)</t>
  </si>
  <si>
    <t>SG&amp;A &amp; Other OpEx</t>
  </si>
  <si>
    <t>EBITDA</t>
  </si>
  <si>
    <t>EBITDA Margin (%)</t>
  </si>
  <si>
    <t>Depreciation &amp; Amortization</t>
  </si>
  <si>
    <t>EBIT</t>
  </si>
  <si>
    <t>EBIT Margin (%)</t>
  </si>
  <si>
    <t>Other Income (net)</t>
  </si>
  <si>
    <t>Profit Before Tax</t>
  </si>
  <si>
    <t>Income Tax</t>
  </si>
  <si>
    <t>Effective Tax Rate (%)</t>
  </si>
  <si>
    <t>Net Income</t>
  </si>
  <si>
    <t>Net Margin (%)</t>
  </si>
  <si>
    <t>BALANCE SHEET</t>
  </si>
  <si>
    <t>ASSETS</t>
  </si>
  <si>
    <t>Cash &amp; Cash Equivalents</t>
  </si>
  <si>
    <t>Current Investments</t>
  </si>
  <si>
    <t>Trade Receivables</t>
  </si>
  <si>
    <t>Unbilled Revenue &amp; Other CA</t>
  </si>
  <si>
    <t>Total Current Assets</t>
  </si>
  <si>
    <t>PP&amp;E (net)</t>
  </si>
  <si>
    <t>Right-of-Use Assets</t>
  </si>
  <si>
    <t>Goodwill &amp; Intangibles</t>
  </si>
  <si>
    <t>Other Non-Current Assets</t>
  </si>
  <si>
    <t>Total Non-Current Assets</t>
  </si>
  <si>
    <t>TOTAL ASSETS</t>
  </si>
  <si>
    <t>LIABILITIES</t>
  </si>
  <si>
    <t>Trade Payables</t>
  </si>
  <si>
    <t>Other Current Liabilities</t>
  </si>
  <si>
    <t>Total Current Liabilities</t>
  </si>
  <si>
    <t>Lease Liabilities (NCL)</t>
  </si>
  <si>
    <t>Other Non-Current Liabilities</t>
  </si>
  <si>
    <t>Total Non-Current Liabilities</t>
  </si>
  <si>
    <t>TOTAL LIABILITIES</t>
  </si>
  <si>
    <t>EQUITY</t>
  </si>
  <si>
    <t>Share Capital</t>
  </si>
  <si>
    <t>Reserves &amp; Surplus</t>
  </si>
  <si>
    <t>Total Equity</t>
  </si>
  <si>
    <t>TOTAL LIABILITIES + EQUITY</t>
  </si>
  <si>
    <t>Balance Check (TA − TL − TE)</t>
  </si>
  <si>
    <t>CASH FLOW STATEMENT</t>
  </si>
  <si>
    <t>Operating Activities</t>
  </si>
  <si>
    <t>Stock-Based Compensation</t>
  </si>
  <si>
    <t>Working Capital Changes</t>
  </si>
  <si>
    <t>Cash from Operations (CFO)</t>
  </si>
  <si>
    <t>Investing Activities</t>
  </si>
  <si>
    <t>Capital Expenditure</t>
  </si>
  <si>
    <t>Acquisitions</t>
  </si>
  <si>
    <t>Investments (net)</t>
  </si>
  <si>
    <t>Cash from Investing (CFI)</t>
  </si>
  <si>
    <t>Financing Activities</t>
  </si>
  <si>
    <t>Dividends Paid</t>
  </si>
  <si>
    <t>Share Buybacks</t>
  </si>
  <si>
    <t>Lease Payments &amp; Others</t>
  </si>
  <si>
    <t>Cash from Financing (CFF)</t>
  </si>
  <si>
    <t>FX &amp; Other Adjustments</t>
  </si>
  <si>
    <t>Net Change in Cash</t>
  </si>
  <si>
    <t>Opening Cash</t>
  </si>
  <si>
    <t>Closing Cash</t>
  </si>
  <si>
    <t>Free Cash Flow (CFO − CapEx)</t>
  </si>
  <si>
    <t>FCF Margin (%)</t>
  </si>
  <si>
    <t>INCOME STATEMENT FORECAST</t>
  </si>
  <si>
    <t>₹ Crores</t>
  </si>
  <si>
    <t>FY2024A</t>
  </si>
  <si>
    <t>BALANCE SHEET FORECAST</t>
  </si>
  <si>
    <t>ROU Assets</t>
  </si>
  <si>
    <t>BALANCE CHECK (TA − TL − TE)</t>
  </si>
  <si>
    <t>CASH FLOW STATEMENT FORECAST</t>
  </si>
  <si>
    <t>OPERATING ACTIVITIES</t>
  </si>
  <si>
    <t>(+) D&amp;A (add-back)</t>
  </si>
  <si>
    <t>(+) Stock-Based Compensation</t>
  </si>
  <si>
    <t>(−) Change in Working Capital</t>
  </si>
  <si>
    <t>INVESTING ACTIVITIES</t>
  </si>
  <si>
    <t>Investments (net purchases)</t>
  </si>
  <si>
    <t>FINANCING ACTIVITIES</t>
  </si>
  <si>
    <t>FREE CASH FLOW (CFO − CapEx)</t>
  </si>
  <si>
    <t>FCF / Net Income (%)</t>
  </si>
  <si>
    <t>DCF VALUATION - INFOSYS LTD</t>
  </si>
  <si>
    <t>₹ Crores (Unless stated)</t>
  </si>
  <si>
    <t>SECTION 1: FCFF BRIDGE</t>
  </si>
  <si>
    <t>Tax Rate (%)</t>
  </si>
  <si>
    <t>NOPAT (EBIT * (1-T))</t>
  </si>
  <si>
    <t>(+) D&amp;A Add-Back</t>
  </si>
  <si>
    <t>(-) Capital Expenditure</t>
  </si>
  <si>
    <t>(-) Change in Working Capital</t>
  </si>
  <si>
    <t>Free Cash Flow to Firm (FCFF)</t>
  </si>
  <si>
    <t>SECTION 2: DISCOUNTING</t>
  </si>
  <si>
    <t>Mid-Year Convention Toggle (1=Yes, 0=No)</t>
  </si>
  <si>
    <t>Discount Period Adjustment</t>
  </si>
  <si>
    <t>Discount Period</t>
  </si>
  <si>
    <t>Discount Factor</t>
  </si>
  <si>
    <t>PV of FCFF</t>
  </si>
  <si>
    <t>Sum of PV of FCFFs</t>
  </si>
  <si>
    <t>Exit EV/EBITDA Multiple</t>
  </si>
  <si>
    <t>SECTION 3: TERMINAL VALUE</t>
  </si>
  <si>
    <t>Terminal Year FCFF</t>
  </si>
  <si>
    <t>METHOD 1: GORDON GROWTH MODEL</t>
  </si>
  <si>
    <t>Terminal Value</t>
  </si>
  <si>
    <t>Terminal Year Discount Fcator</t>
  </si>
  <si>
    <t>PV of Terminal Value (GGM)</t>
  </si>
  <si>
    <t>METHOD 2: EXIT MULTIPLE</t>
  </si>
  <si>
    <t>Terminal Year EBITDA</t>
  </si>
  <si>
    <t>Terminal Value (Exit Multiple)</t>
  </si>
  <si>
    <t>PV of Terminal Value (Exit Multiple)</t>
  </si>
  <si>
    <t xml:space="preserve">RECONCILIATION </t>
  </si>
  <si>
    <t>Implied EV/EBITDA (from GGM)</t>
  </si>
  <si>
    <t>TV as % of Total EV (GGM)</t>
  </si>
  <si>
    <t>TV as % of Total Ev (Exit Multiple)</t>
  </si>
  <si>
    <t>SECTION 4: EV -&gt; EQUITY BRIDGE</t>
  </si>
  <si>
    <t>(+) PV of Terminal Value (GGM)</t>
  </si>
  <si>
    <t>Enterprise Value (GGM)</t>
  </si>
  <si>
    <t>(+)PV of Terminal Value (Exit Multiple)</t>
  </si>
  <si>
    <t>Enterprise Value (Exit Multiple)</t>
  </si>
  <si>
    <t>NET CASH BRIDGE (FY2024A Actuals)</t>
  </si>
  <si>
    <t>(+) Cash &amp; Cash Equivalents</t>
  </si>
  <si>
    <t>(+) Current Investments</t>
  </si>
  <si>
    <t>(-) Total Financial Debt</t>
  </si>
  <si>
    <t>Net Cash / (Debt)</t>
  </si>
  <si>
    <t>EQUITY VALUE</t>
  </si>
  <si>
    <t>Equity Value (GGM)</t>
  </si>
  <si>
    <t>Equity Value (Exit Multiple)</t>
  </si>
  <si>
    <t>INTRINSIC VALUE PER SHARE</t>
  </si>
  <si>
    <t>Intrinsic Value per Share - GGM (₹)</t>
  </si>
  <si>
    <t>Intrinsic Value per Share - Exit Multiple (₹)</t>
  </si>
  <si>
    <t>MARKET COMPARISON</t>
  </si>
  <si>
    <t>Upside / (Downside) - GGM</t>
  </si>
  <si>
    <t>Upside / (Downside) - Exit Multiple</t>
  </si>
  <si>
    <t>SECTION 5: SENITIVITY ANALYSIS</t>
  </si>
  <si>
    <t>WACC Range</t>
  </si>
  <si>
    <t>Terminal Growth Rate Range</t>
  </si>
  <si>
    <t>TABLE 1: INTINSIC VALUE PER SHARE - GGM (₹)</t>
  </si>
  <si>
    <t>WACC →</t>
  </si>
  <si>
    <t>TABLE 2: INTINSIC VALUE PER SHARE - Exit Multiple (₹)</t>
  </si>
  <si>
    <t>SECTION 6: FOOTBALL FIELD CHART</t>
  </si>
  <si>
    <t>Valuation Method</t>
  </si>
  <si>
    <t>Low (₹)</t>
  </si>
  <si>
    <t>High (₹)</t>
  </si>
  <si>
    <t>DCF - GGM</t>
  </si>
  <si>
    <t>DCG - Exit Multiple</t>
  </si>
  <si>
    <t>52 - Week Range</t>
  </si>
  <si>
    <t>Current Market Price</t>
  </si>
  <si>
    <t>Method</t>
  </si>
  <si>
    <t>Base (Hidden)</t>
  </si>
  <si>
    <t>Range Width</t>
  </si>
  <si>
    <t>CMP Line</t>
  </si>
  <si>
    <t>Infosys Limited</t>
  </si>
  <si>
    <t>Equity Research &amp; DCF Valuation Model</t>
  </si>
  <si>
    <t>NSE: INFY | BSE: 500209 | Sector: IT Services</t>
  </si>
  <si>
    <t>BUY | Target Price: ₹2,035 | Current Price: ₹1,600 | Upside: 27%</t>
  </si>
  <si>
    <t>INVESTMENT THESIS</t>
  </si>
  <si>
    <t>◉  BFSI Recovery + GenAI Tailwind: Deal pipeline recovering in BFSI vertical (35% of revenue) with mega-deal ramp-ups expected in FY2026E. Management's GenAI-focused service offerings position Infosys ahead of peers in the next technology cycle.</t>
  </si>
  <si>
    <t>◉  Margin Expansion Story: EBITDA margins expected to expand from 24.5% in FY2025E to 26.5% by FY2029E driven by operating leverage, pyramid optimisation, and declining sub-contracting costs.</t>
  </si>
  <si>
    <t>KEY MODEL OUTPUTS</t>
  </si>
  <si>
    <t>Intrinsic Value (Exit Multiple)</t>
  </si>
  <si>
    <t>Intrinsic Value (GGM)</t>
  </si>
  <si>
    <t>Enterprise Value</t>
  </si>
  <si>
    <t>FY2029E Revenue</t>
  </si>
  <si>
    <t>FY2029E EBITDA Margin</t>
  </si>
  <si>
    <t>FY2029E FCF</t>
  </si>
  <si>
    <t>Terminal Growth Rate</t>
  </si>
  <si>
    <t>MODEL STRUCTURE</t>
  </si>
  <si>
    <t>Assumptions - All model drivers and inputs</t>
  </si>
  <si>
    <t>Historical - FY2020-FY2024 actuals (IFRS)</t>
  </si>
  <si>
    <t>IS_Forecast - 5-Year P&amp;L projection</t>
  </si>
  <si>
    <t>BS_Forecast - Balance Sheet with plug</t>
  </si>
  <si>
    <t xml:space="preserve">CFS_Forecast - Cash Flow Statement </t>
  </si>
  <si>
    <t>DCF_Valuation - FCFF DCF + Sensitivity</t>
  </si>
  <si>
    <t>KEY RISKS</t>
  </si>
  <si>
    <t>Downside risks include: (1) Prolonged weakness in US discretionary IT spend, (2) Margin compression from wage inflation and visa costs, (3) Client concentration in BFSI vertical, (4) Currency headwinds from INR appreciation vs USD.</t>
  </si>
  <si>
    <t>This model is prepared for educational and portfolio purposes only. All estimates are the author's own and do not constitute investment advice. Data sourced from company filings, Bombay Stock Exchange, and public disclosures.</t>
  </si>
  <si>
    <t>◉  Capital Return Underappreciated: ₹55% dividend payout + periodic buybacks (₹5,000 Cr in FY2026E, FY2028E) implies total shareholder yield of ~4-5% annually — a floor on downside even in bear scenarios.</t>
  </si>
  <si>
    <t>SCENARIO ANALYSIS - INFOSYS LTD</t>
  </si>
  <si>
    <t>Bear Case</t>
  </si>
  <si>
    <t>Base Case</t>
  </si>
  <si>
    <t>Bull Case</t>
  </si>
  <si>
    <t>REVENUE GROWTH</t>
  </si>
  <si>
    <t>EBITDA MARGINS</t>
  </si>
  <si>
    <t>DCF ASSUMPTIONS</t>
  </si>
  <si>
    <t>SCENARIO OUTPUT SUMMARY</t>
  </si>
  <si>
    <t>Metric</t>
  </si>
  <si>
    <t>FY2029E Revenue (₹ Cr)</t>
  </si>
  <si>
    <t>FY2029E FCFF (₹ Cr)</t>
  </si>
  <si>
    <t>Intrinsic Value - Exit Multiple (₹)</t>
  </si>
  <si>
    <t>Upside / ( Downside) vs CMP</t>
  </si>
  <si>
    <t>Scenario Selector</t>
  </si>
  <si>
    <t>Active Scenario</t>
  </si>
  <si>
    <t>COMPARABLE COMPANY ANALYSIS - IT SERVICES</t>
  </si>
  <si>
    <t>Market data as of March 2026 | Financials in local currency unless stated</t>
  </si>
  <si>
    <t>Source: BSE/NSE filings, company reports</t>
  </si>
  <si>
    <t>Company</t>
  </si>
  <si>
    <t>Ticker</t>
  </si>
  <si>
    <t>Currency</t>
  </si>
  <si>
    <t>Market Cap</t>
  </si>
  <si>
    <t>Revenue LTM</t>
  </si>
  <si>
    <t>EBITDA LTM</t>
  </si>
  <si>
    <t>EBIT LTM</t>
  </si>
  <si>
    <t>Net Income LTM</t>
  </si>
  <si>
    <t>EV/Revenue</t>
  </si>
  <si>
    <t>EV/EBITDA</t>
  </si>
  <si>
    <t>P/E</t>
  </si>
  <si>
    <t>FCF Yield</t>
  </si>
  <si>
    <t>Revenue Growth</t>
  </si>
  <si>
    <t>(₹ Cr / $ Bn)</t>
  </si>
  <si>
    <t>(x)</t>
  </si>
  <si>
    <t>EV/EBIT</t>
  </si>
  <si>
    <t>(%)</t>
  </si>
  <si>
    <t>Infosys Ltd</t>
  </si>
  <si>
    <t>INFY</t>
  </si>
  <si>
    <t>INR</t>
  </si>
  <si>
    <t>Tata Consultancy Services</t>
  </si>
  <si>
    <t>TCS</t>
  </si>
  <si>
    <t>HCL Technologies</t>
  </si>
  <si>
    <t>HCLTECH</t>
  </si>
  <si>
    <t>Wipro Ltd</t>
  </si>
  <si>
    <t>WIPRO</t>
  </si>
  <si>
    <t>Accenture plc</t>
  </si>
  <si>
    <t>ACN</t>
  </si>
  <si>
    <t>USD</t>
  </si>
  <si>
    <t>Cognizant Technology</t>
  </si>
  <si>
    <t>CTSH</t>
  </si>
  <si>
    <t>Mean (ex. Subject)</t>
  </si>
  <si>
    <t>Median (ex. Subject)</t>
  </si>
  <si>
    <t>25th Percentile</t>
  </si>
  <si>
    <t>75th Percentile</t>
  </si>
  <si>
    <t>INFOSYS (Subject)</t>
  </si>
  <si>
    <t>Premium /  (Discount) to Mean</t>
  </si>
  <si>
    <t>Premium / (Discount) to Median</t>
  </si>
  <si>
    <t>IMPLIED VALUATION FROM COMPS</t>
  </si>
  <si>
    <t>Peer Mean Multiple</t>
  </si>
  <si>
    <t>Peer Median Multiple</t>
  </si>
  <si>
    <t>Implied EV (₹ Cr)</t>
  </si>
  <si>
    <t>Implied Equity Value (₹ Cr)</t>
  </si>
  <si>
    <t>Implied Price per Share (₹)</t>
  </si>
  <si>
    <t>Upside / (Downside) vs CMP</t>
  </si>
  <si>
    <t xml:space="preserve">EV/EBITDA </t>
  </si>
  <si>
    <t>CREDIT METRICS DASHBOARD - INFOSYS LTD</t>
  </si>
  <si>
    <t>₹ Crores | IFRS Consolidated | FY2024A-FY2029E</t>
  </si>
  <si>
    <t>BLOCK 1: LIQUIDITY</t>
  </si>
  <si>
    <t>Current Ratio</t>
  </si>
  <si>
    <t>Quick Ratio (ex. Inventory)</t>
  </si>
  <si>
    <t>Net Cash Position (₹ Cr)</t>
  </si>
  <si>
    <t>Net Cash / EBITDA</t>
  </si>
  <si>
    <t>Cash &amp; Investments (₹ Cr)</t>
  </si>
  <si>
    <t>Cash as % of Total Assets</t>
  </si>
  <si>
    <t>"No Inventory"</t>
  </si>
  <si>
    <t>BLOCK 2: COVERAGE</t>
  </si>
  <si>
    <t>Interest Coverage (EBIT / Interest)</t>
  </si>
  <si>
    <t>Debt Service Coverage (EBITDA / Total Debt)</t>
  </si>
  <si>
    <t>FCF Coverage of Dividends</t>
  </si>
  <si>
    <t>FCF Coverage of Total Capital Returns</t>
  </si>
  <si>
    <t>BLOCK 3: CAPITAL STRUCTURE</t>
  </si>
  <si>
    <t>Total Financial Debt (₹ Cr)</t>
  </si>
  <si>
    <t>Total Equity (₹ Cr)</t>
  </si>
  <si>
    <t xml:space="preserve">Debt / Equity </t>
  </si>
  <si>
    <t>Debt / Total Capital</t>
  </si>
  <si>
    <t>Equity / Total Assets</t>
  </si>
  <si>
    <t>"Zero financial debt - Infosys is debt free"</t>
  </si>
  <si>
    <t>BLOCK 4: CASH RETURNS</t>
  </si>
  <si>
    <t>Dividend Yield (%)</t>
  </si>
  <si>
    <t>Buyback Yield (%)</t>
  </si>
  <si>
    <t>Total Shareholder Yield (%)</t>
  </si>
  <si>
    <t>Dividend Payout Ratio (%)</t>
  </si>
  <si>
    <t>FCF Payout Ratio (%)</t>
  </si>
  <si>
    <t>BLOCK 5: DUPONT ANALYSIS</t>
  </si>
  <si>
    <t>Net Profit Margin (%)</t>
  </si>
  <si>
    <t>Asset Turnover (x)</t>
  </si>
  <si>
    <t>Equity Multiplier (x)</t>
  </si>
  <si>
    <t>Return on Equity - DuPont (%)</t>
  </si>
  <si>
    <t>Return on Equity - Direct (%)</t>
  </si>
  <si>
    <t>Return on Assets (%)</t>
  </si>
  <si>
    <t>Return on Invested Cpaital (%)</t>
  </si>
  <si>
    <t>BLOCK 6: CREDIT SCORECARD</t>
  </si>
  <si>
    <t>FY2024A Value</t>
  </si>
  <si>
    <t>Threshold</t>
  </si>
  <si>
    <t>Status</t>
  </si>
  <si>
    <t>Commentary</t>
  </si>
  <si>
    <t>NOPAT / EQUITY (zero debt so IC=Equity)</t>
  </si>
  <si>
    <t>Debt / Equity</t>
  </si>
  <si>
    <t>Dividend Payout Ratio</t>
  </si>
  <si>
    <t>ROIC</t>
  </si>
  <si>
    <t>Total Shareholder Yield</t>
  </si>
  <si>
    <t xml:space="preserve">Revenue Growth </t>
  </si>
  <si>
    <t>&gt;1.5x</t>
  </si>
  <si>
    <t>&gt;0x</t>
  </si>
  <si>
    <t>&gt;1.2x</t>
  </si>
  <si>
    <t>&lt;1.0x</t>
  </si>
  <si>
    <t>&gt;3%</t>
  </si>
  <si>
    <t>&lt;70%</t>
  </si>
  <si>
    <t>&gt;15%</t>
  </si>
  <si>
    <t>&gt;5%</t>
  </si>
  <si>
    <t>STRONG</t>
  </si>
  <si>
    <t>WATCH</t>
  </si>
  <si>
    <t>Well above minimum threshold</t>
  </si>
  <si>
    <t>Net cash — zero leverage risk</t>
  </si>
  <si>
    <t>Highly sustainable payout</t>
  </si>
  <si>
    <t>Leaves buffer for reinvestment</t>
  </si>
  <si>
    <t>Significantly above WACC</t>
  </si>
  <si>
    <t>Attractive income + return</t>
  </si>
  <si>
    <t>FY2024 growth below long-run avg</t>
  </si>
  <si>
    <t>SENTIMENT ANALYSIS - INFOSYS LTD</t>
  </si>
  <si>
    <t>Qualitative Research Framework | Updated: March 2026</t>
  </si>
  <si>
    <t>Sources: NSE/BSE filings, earnings transcripts, Bloomberg, company press releases</t>
  </si>
  <si>
    <t>BLOCK 1: MANAGEMENT TONE TRACKER</t>
  </si>
  <si>
    <t>Earnings Call Scoring (Scale: -2 to +2)</t>
  </si>
  <si>
    <t>Q2 FY2024</t>
  </si>
  <si>
    <t>Q3 FY2024</t>
  </si>
  <si>
    <t>Q4 FY2024</t>
  </si>
  <si>
    <t>Q1 FY2025</t>
  </si>
  <si>
    <t>Weight</t>
  </si>
  <si>
    <t>Weighted Score</t>
  </si>
  <si>
    <t>Revenue Outlook &amp; Deal Pipeline</t>
  </si>
  <si>
    <t>Margin Guidance &amp; Cost Commentary</t>
  </si>
  <si>
    <t xml:space="preserve">GenAI / Technology Positioning </t>
  </si>
  <si>
    <t>Client Demand Enviornment</t>
  </si>
  <si>
    <t>Capital Allocation Signals</t>
  </si>
  <si>
    <t xml:space="preserve">Overall Management Confidence </t>
  </si>
  <si>
    <t>Sum (must = 1.0)</t>
  </si>
  <si>
    <t>Total Management Tone Score</t>
  </si>
  <si>
    <t>BLOCK 2: YOUR ESTIMATES vs CONSENSUS</t>
  </si>
  <si>
    <t>Your Variant Vieew</t>
  </si>
  <si>
    <t>Revenue (₹ Cr) - Your Model</t>
  </si>
  <si>
    <t>Difference (%)</t>
  </si>
  <si>
    <t>EBITDA Margin (%) - Consensus</t>
  </si>
  <si>
    <t>Revenue (₹ Cr) - Consensus</t>
  </si>
  <si>
    <t>EBITA Margin (%) - Your Model</t>
  </si>
  <si>
    <t>Difference (bps)</t>
  </si>
  <si>
    <t>"Slightly above consensus - GenAI mix benefits underappreciated</t>
  </si>
  <si>
    <t>EPS (₹) - Consensus</t>
  </si>
  <si>
    <t>EPS (₹) - Your Model</t>
  </si>
  <si>
    <t>"Above consensus - margin expansion + buybacks not fully priced in"</t>
  </si>
  <si>
    <t>BLOCK 3: NEWS &amp; EVENT SENTIMENT TRACKER</t>
  </si>
  <si>
    <t>Date</t>
  </si>
  <si>
    <t>Event / Headline</t>
  </si>
  <si>
    <t>Category</t>
  </si>
  <si>
    <t>Score (-2 to +2)</t>
  </si>
  <si>
    <t>Market Priced In?</t>
  </si>
  <si>
    <t>Analyst Action</t>
  </si>
  <si>
    <t>Q3 FY2026 earnings beat — revenue in-line, margins +40bps vs guidance</t>
  </si>
  <si>
    <t>$2.5Bn mega-deal win with European financial services client</t>
  </si>
  <si>
    <t>CEO Salil Parekh reaffirmed FY2026 revenue guidance 4.5-5%</t>
  </si>
  <si>
    <t>Announced GenAI platform partnership with Google Cloud</t>
  </si>
  <si>
    <t>US Federal Reserve rate cut — positive for BFSI client capex</t>
  </si>
  <si>
    <t>Attrition rate declined to 12.3% — lowest in 3 years</t>
  </si>
  <si>
    <t>Weak Q1 FY2026 — revenue missed consensus by 0.8%</t>
  </si>
  <si>
    <t>INR appreciation vs USD — ~100bps margin headwind flagged</t>
  </si>
  <si>
    <t>Buyback announced ₹5,000 Cr at ₹1,750 cap price</t>
  </si>
  <si>
    <t>Large BFSI client reduced discretionary spend for 2 quarters</t>
  </si>
  <si>
    <t>Earnings</t>
  </si>
  <si>
    <t>Deal Win</t>
  </si>
  <si>
    <t>Guidance</t>
  </si>
  <si>
    <t>Strategic</t>
  </si>
  <si>
    <t>Macro</t>
  </si>
  <si>
    <t>Operations</t>
  </si>
  <si>
    <t>FX / Macro</t>
  </si>
  <si>
    <t>Capital Return</t>
  </si>
  <si>
    <t>Demand</t>
  </si>
  <si>
    <t>Yes</t>
  </si>
  <si>
    <t>Partial</t>
  </si>
  <si>
    <t>No</t>
  </si>
  <si>
    <t>Hold - priced in</t>
  </si>
  <si>
    <t>Buy - not fully reflected</t>
  </si>
  <si>
    <t>No action</t>
  </si>
  <si>
    <t>Buy - re-rating catalyst</t>
  </si>
  <si>
    <t>Buy</t>
  </si>
  <si>
    <t>Buy- margin tailwind</t>
  </si>
  <si>
    <t xml:space="preserve">Hold </t>
  </si>
  <si>
    <t>Watch</t>
  </si>
  <si>
    <t>Hold</t>
  </si>
  <si>
    <t>Average News Sentiment Score</t>
  </si>
  <si>
    <t>BLOCK 4: RISK MATRIX</t>
  </si>
  <si>
    <t>Risk Factor</t>
  </si>
  <si>
    <t>Probabaility (1-3)</t>
  </si>
  <si>
    <t>Impact (1-3)</t>
  </si>
  <si>
    <t>Risk Score (P*I)</t>
  </si>
  <si>
    <t>RAG Status</t>
  </si>
  <si>
    <t>Mitigation</t>
  </si>
  <si>
    <t>Prolonged US IT spend weakness</t>
  </si>
  <si>
    <t>GenAI disruption to services model</t>
  </si>
  <si>
    <t>INR appreciation vs USD</t>
  </si>
  <si>
    <t>Wage inflation / talent war</t>
  </si>
  <si>
    <t>BFSI client budget cuts</t>
  </si>
  <si>
    <t>Visa restrictions in US/Europe</t>
  </si>
  <si>
    <t>Key client concentration</t>
  </si>
  <si>
    <t>Management succession risk</t>
  </si>
  <si>
    <t>Technology</t>
  </si>
  <si>
    <t xml:space="preserve"> Demand </t>
  </si>
  <si>
    <t>Regulatory</t>
  </si>
  <si>
    <t>Client Risk</t>
  </si>
  <si>
    <t>Governance</t>
  </si>
  <si>
    <t>Diversification into Europe/APAC</t>
  </si>
  <si>
    <t>Infosys Topaz platform investment</t>
  </si>
  <si>
    <t>Natural hedge via USD costs</t>
  </si>
  <si>
    <t>Pyramid optimisation, automation</t>
  </si>
  <si>
    <t>Vertical diversification</t>
  </si>
  <si>
    <t>Local hiring increase</t>
  </si>
  <si>
    <t>No client &gt;5% revenue</t>
  </si>
  <si>
    <t>Strong bench depth</t>
  </si>
  <si>
    <t>High Risks</t>
  </si>
  <si>
    <t>Medium Risks</t>
  </si>
  <si>
    <t>Low Risks</t>
  </si>
  <si>
    <t>BLOCK 5: OVERALL SENTIMENT SCORE</t>
  </si>
  <si>
    <t>Component</t>
  </si>
  <si>
    <t>Raw Score</t>
  </si>
  <si>
    <t>Scale Reference</t>
  </si>
  <si>
    <t>Management Tone</t>
  </si>
  <si>
    <t>Consensus Divergence</t>
  </si>
  <si>
    <t>News Sentiment</t>
  </si>
  <si>
    <t>Risk Score (Inverted)</t>
  </si>
  <si>
    <t>Weight Sum (must = 1.0)</t>
  </si>
  <si>
    <t>Composite Sentiment Score</t>
  </si>
  <si>
    <t>Score Interpretation</t>
  </si>
  <si>
    <t>&gt; +1.0</t>
  </si>
  <si>
    <t>Strongly Bullish - High conviction buy</t>
  </si>
  <si>
    <t>0.5 to 1.0</t>
  </si>
  <si>
    <t>Bullish - Moderate conviction buy</t>
  </si>
  <si>
    <t>(0.5) to 0.5</t>
  </si>
  <si>
    <t>Neutral - Hold / Wait for catalyst</t>
  </si>
  <si>
    <t>(0.5) to (1.0)</t>
  </si>
  <si>
    <t>Bearish - Reduce position</t>
  </si>
  <si>
    <t>&lt; (1.0)</t>
  </si>
  <si>
    <t>Strongly Bearish - Exit</t>
  </si>
  <si>
    <t>Prepared by: Rajeev 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</si>
</sst>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 #,##0.00;[Red]&quot;₹&quot;\ \-#,##0.00"/>
    <numFmt numFmtId="43" formatCode="_ * #,##0.00_ ;_ * \-#,##0.00_ ;_ * &quot;-&quot;??_ ;_ @_ "/>
    <numFmt numFmtId="164" formatCode="_ * #,##0_ ;_ * \-#,##0_ ;_ * &quot;-&quot;??_ ;_ @_ "/>
    <numFmt numFmtId="165" formatCode="0.000"/>
    <numFmt numFmtId="166" formatCode="0.0%"/>
    <numFmt numFmtId="167" formatCode="&quot;₹&quot;\ #,##0.00"/>
    <numFmt numFmtId="168" formatCode="&quot;₹&quot;\ #,##0"/>
    <numFmt numFmtId="169" formatCode="0.0\x"/>
    <numFmt numFmtId="170" formatCode="0&quot; bps&quot;"/>
    <numFmt numFmtId="171" formatCode="0.0"/>
  </numFmts>
  <fonts count="31" x14ac:knownFonts="1">
    <font>
      <sz val="11"/>
      <color theme="1"/>
      <name val="Aptos Narrow"/>
      <family val="2"/>
      <scheme val="minor"/>
    </font>
    <font>
      <sz val="11"/>
      <color theme="1"/>
      <name val="Aptos Narrow"/>
      <family val="2"/>
      <scheme val="minor"/>
    </font>
    <font>
      <sz val="28"/>
      <color theme="0"/>
      <name val="Calibri"/>
      <family val="2"/>
    </font>
    <font>
      <b/>
      <sz val="11"/>
      <color rgb="FF1F497D"/>
      <name val="Calibri"/>
      <family val="2"/>
    </font>
    <font>
      <sz val="10"/>
      <color rgb="FF404040"/>
      <name val="Calibri"/>
      <family val="2"/>
    </font>
    <font>
      <b/>
      <sz val="12"/>
      <color theme="1"/>
      <name val="Calibri"/>
      <family val="2"/>
    </font>
    <font>
      <b/>
      <sz val="12"/>
      <color rgb="FF002060"/>
      <name val="Calibri"/>
      <family val="2"/>
    </font>
    <font>
      <b/>
      <sz val="11"/>
      <color theme="1"/>
      <name val="Calibri"/>
      <family val="2"/>
    </font>
    <font>
      <sz val="10"/>
      <color theme="1"/>
      <name val="Calibri"/>
      <family val="2"/>
    </font>
    <font>
      <b/>
      <sz val="10"/>
      <color theme="1"/>
      <name val="Calibri"/>
      <family val="2"/>
    </font>
    <font>
      <b/>
      <sz val="10"/>
      <color rgb="FF002060"/>
      <name val="Calibri"/>
      <family val="2"/>
    </font>
    <font>
      <b/>
      <sz val="14"/>
      <color theme="1"/>
      <name val="Calibri"/>
      <family val="2"/>
    </font>
    <font>
      <sz val="11"/>
      <color theme="1"/>
      <name val="Calibri"/>
      <family val="2"/>
    </font>
    <font>
      <b/>
      <sz val="11"/>
      <color theme="0"/>
      <name val="Calibri"/>
      <family val="2"/>
    </font>
    <font>
      <i/>
      <sz val="11"/>
      <color rgb="FF404040"/>
      <name val="Calibri"/>
      <family val="2"/>
    </font>
    <font>
      <sz val="12"/>
      <color theme="2"/>
      <name val="Calibri"/>
      <family val="2"/>
    </font>
    <font>
      <sz val="10"/>
      <color theme="0"/>
      <name val="Calibri"/>
      <family val="2"/>
    </font>
    <font>
      <sz val="10"/>
      <color theme="2"/>
      <name val="Calibri"/>
      <family val="2"/>
    </font>
    <font>
      <b/>
      <sz val="12"/>
      <color rgb="FFFFD966"/>
      <name val="Calibri"/>
      <family val="2"/>
    </font>
    <font>
      <sz val="11"/>
      <color rgb="FF002060"/>
      <name val="Calibri"/>
      <family val="2"/>
    </font>
    <font>
      <sz val="9"/>
      <color rgb="FF404040"/>
      <name val="Calibri"/>
      <family val="2"/>
    </font>
    <font>
      <i/>
      <sz val="8"/>
      <color theme="0" tint="-0.499984740745262"/>
      <name val="Calibri"/>
      <family val="2"/>
    </font>
    <font>
      <b/>
      <sz val="14"/>
      <name val="Calibri"/>
      <family val="2"/>
    </font>
    <font>
      <i/>
      <sz val="9"/>
      <name val="Calibri"/>
      <family val="2"/>
    </font>
    <font>
      <i/>
      <sz val="11"/>
      <color theme="0" tint="-0.499984740745262"/>
      <name val="Calibri"/>
      <family val="2"/>
    </font>
    <font>
      <b/>
      <sz val="10"/>
      <color rgb="FF1F497D"/>
      <name val="Calibri"/>
      <family val="2"/>
    </font>
    <font>
      <b/>
      <sz val="14"/>
      <color rgb="FF1F497D"/>
      <name val="Calibri"/>
      <family val="2"/>
    </font>
    <font>
      <sz val="11"/>
      <name val="Calibri"/>
      <family val="2"/>
    </font>
    <font>
      <sz val="11"/>
      <color theme="3" tint="0.499984740745262"/>
      <name val="Calibri"/>
      <family val="2"/>
    </font>
    <font>
      <b/>
      <i/>
      <sz val="11"/>
      <color theme="1"/>
      <name val="Calibri"/>
      <family val="2"/>
    </font>
    <font>
      <sz val="8"/>
      <name val="Aptos Narrow"/>
      <family val="2"/>
      <scheme val="minor"/>
    </font>
  </fonts>
  <fills count="10">
    <fill>
      <patternFill patternType="none"/>
    </fill>
    <fill>
      <patternFill patternType="gray125"/>
    </fill>
    <fill>
      <patternFill patternType="solid">
        <fgColor rgb="FF1F497D"/>
        <bgColor indexed="64"/>
      </patternFill>
    </fill>
    <fill>
      <patternFill patternType="solid">
        <fgColor rgb="FFF2F2F2"/>
        <bgColor indexed="64"/>
      </patternFill>
    </fill>
    <fill>
      <patternFill patternType="solid">
        <fgColor theme="0"/>
        <bgColor indexed="64"/>
      </patternFill>
    </fill>
    <fill>
      <patternFill patternType="solid">
        <fgColor rgb="FFFFC7CE"/>
        <bgColor indexed="64"/>
      </patternFill>
    </fill>
    <fill>
      <patternFill patternType="solid">
        <fgColor rgb="FFFFEB9C"/>
        <bgColor indexed="64"/>
      </patternFill>
    </fill>
    <fill>
      <patternFill patternType="solid">
        <fgColor rgb="FFC6EFCE"/>
        <bgColor indexed="64"/>
      </patternFill>
    </fill>
    <fill>
      <patternFill patternType="solid">
        <fgColor rgb="FFBDD7EE"/>
        <bgColor indexed="64"/>
      </patternFill>
    </fill>
    <fill>
      <patternFill patternType="solid">
        <fgColor rgb="FFFF9999"/>
        <bgColor indexed="64"/>
      </patternFill>
    </fill>
  </fills>
  <borders count="6">
    <border>
      <left/>
      <right/>
      <top/>
      <bottom/>
      <diagonal/>
    </border>
    <border>
      <left/>
      <right/>
      <top/>
      <bottom style="thin">
        <color indexed="64"/>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7">
    <xf numFmtId="0" fontId="0" fillId="0" borderId="0" xfId="0"/>
    <xf numFmtId="0" fontId="7" fillId="5" borderId="0" xfId="0" applyFont="1" applyFill="1" applyAlignment="1">
      <alignment horizontal="center" vertical="center"/>
    </xf>
    <xf numFmtId="0" fontId="7" fillId="0" borderId="0" xfId="0" applyFont="1"/>
    <xf numFmtId="0" fontId="7" fillId="6" borderId="0" xfId="0" applyFont="1" applyFill="1"/>
    <xf numFmtId="0" fontId="7" fillId="6" borderId="0" xfId="0" applyFont="1" applyFill="1" applyAlignment="1">
      <alignment horizontal="center" vertical="center"/>
    </xf>
    <xf numFmtId="0" fontId="7" fillId="7" borderId="0" xfId="0" applyFont="1" applyFill="1" applyAlignment="1">
      <alignment horizontal="center" vertical="center"/>
    </xf>
    <xf numFmtId="0" fontId="11" fillId="0" borderId="0" xfId="0" applyFont="1"/>
    <xf numFmtId="0" fontId="12" fillId="0" borderId="0" xfId="0" applyFont="1"/>
    <xf numFmtId="0" fontId="13" fillId="2" borderId="0" xfId="0" applyFont="1" applyFill="1"/>
    <xf numFmtId="0" fontId="14" fillId="3" borderId="0" xfId="0" applyFont="1" applyFill="1"/>
    <xf numFmtId="3" fontId="12" fillId="0" borderId="0" xfId="0" applyNumberFormat="1" applyFont="1"/>
    <xf numFmtId="164" fontId="12" fillId="0" borderId="0" xfId="1" applyNumberFormat="1" applyFont="1"/>
    <xf numFmtId="9" fontId="12" fillId="0" borderId="0" xfId="2" applyFont="1"/>
    <xf numFmtId="166" fontId="12" fillId="0" borderId="0" xfId="2" applyNumberFormat="1" applyFont="1"/>
    <xf numFmtId="2" fontId="12" fillId="0" borderId="0" xfId="0" applyNumberFormat="1" applyFont="1"/>
    <xf numFmtId="43" fontId="12" fillId="0" borderId="0" xfId="0" applyNumberFormat="1" applyFont="1"/>
    <xf numFmtId="0" fontId="12" fillId="8" borderId="0" xfId="0" applyFont="1" applyFill="1"/>
    <xf numFmtId="164" fontId="12" fillId="8" borderId="0" xfId="1" applyNumberFormat="1" applyFont="1" applyFill="1"/>
    <xf numFmtId="0" fontId="12" fillId="3" borderId="0" xfId="0" applyFont="1" applyFill="1"/>
    <xf numFmtId="164" fontId="12" fillId="3" borderId="0" xfId="1" applyNumberFormat="1" applyFont="1" applyFill="1"/>
    <xf numFmtId="0" fontId="7" fillId="8" borderId="5" xfId="0" applyFont="1" applyFill="1" applyBorder="1"/>
    <xf numFmtId="0" fontId="13" fillId="4" borderId="0" xfId="0" applyFont="1" applyFill="1"/>
    <xf numFmtId="169" fontId="7" fillId="6" borderId="0" xfId="0" applyNumberFormat="1" applyFont="1" applyFill="1"/>
    <xf numFmtId="169" fontId="12" fillId="0" borderId="0" xfId="0" applyNumberFormat="1" applyFont="1"/>
    <xf numFmtId="166" fontId="12" fillId="3" borderId="0" xfId="2" applyNumberFormat="1" applyFont="1" applyFill="1"/>
    <xf numFmtId="166" fontId="7" fillId="6" borderId="0" xfId="2" applyNumberFormat="1" applyFont="1" applyFill="1"/>
    <xf numFmtId="0" fontId="13" fillId="2" borderId="2" xfId="0" applyFont="1" applyFill="1" applyBorder="1"/>
    <xf numFmtId="0" fontId="12" fillId="3" borderId="1" xfId="0" applyFont="1" applyFill="1" applyBorder="1"/>
    <xf numFmtId="164" fontId="12" fillId="3" borderId="1" xfId="1" applyNumberFormat="1" applyFont="1" applyFill="1" applyBorder="1"/>
    <xf numFmtId="166" fontId="12" fillId="3" borderId="1" xfId="2" applyNumberFormat="1" applyFont="1" applyFill="1" applyBorder="1"/>
    <xf numFmtId="0" fontId="12" fillId="0" borderId="1" xfId="0" applyFont="1" applyBorder="1"/>
    <xf numFmtId="169" fontId="12" fillId="0" borderId="1" xfId="0" applyNumberFormat="1" applyFont="1" applyBorder="1"/>
    <xf numFmtId="0" fontId="3" fillId="0" borderId="2" xfId="0" applyFont="1" applyBorder="1"/>
    <xf numFmtId="0" fontId="12" fillId="2" borderId="0" xfId="0" applyFont="1" applyFill="1"/>
    <xf numFmtId="0" fontId="19" fillId="0" borderId="2" xfId="0" applyFont="1" applyBorder="1"/>
    <xf numFmtId="0" fontId="19" fillId="4" borderId="2" xfId="0" applyFont="1" applyFill="1" applyBorder="1"/>
    <xf numFmtId="0" fontId="22" fillId="0" borderId="0" xfId="0" applyFont="1"/>
    <xf numFmtId="0" fontId="23" fillId="0" borderId="0" xfId="0" applyFont="1"/>
    <xf numFmtId="0" fontId="12" fillId="0" borderId="0" xfId="0" applyFont="1" applyAlignment="1">
      <alignment wrapText="1"/>
    </xf>
    <xf numFmtId="10" fontId="12" fillId="0" borderId="0" xfId="0" applyNumberFormat="1" applyFont="1"/>
    <xf numFmtId="9" fontId="12" fillId="0" borderId="0" xfId="0" applyNumberFormat="1" applyFont="1"/>
    <xf numFmtId="8" fontId="12" fillId="0" borderId="0" xfId="0" applyNumberFormat="1" applyFont="1" applyAlignment="1">
      <alignment wrapText="1"/>
    </xf>
    <xf numFmtId="8" fontId="12" fillId="0" borderId="0" xfId="0" applyNumberFormat="1" applyFont="1"/>
    <xf numFmtId="1" fontId="12" fillId="0" borderId="0" xfId="0" applyNumberFormat="1" applyFont="1"/>
    <xf numFmtId="0" fontId="12" fillId="6" borderId="4" xfId="0" applyFont="1" applyFill="1" applyBorder="1"/>
    <xf numFmtId="166" fontId="19" fillId="5" borderId="0" xfId="2" applyNumberFormat="1" applyFont="1" applyFill="1"/>
    <xf numFmtId="166" fontId="19" fillId="6" borderId="0" xfId="2" applyNumberFormat="1" applyFont="1" applyFill="1"/>
    <xf numFmtId="166" fontId="19" fillId="7" borderId="0" xfId="2" applyNumberFormat="1" applyFont="1" applyFill="1"/>
    <xf numFmtId="0" fontId="19" fillId="5" borderId="0" xfId="0" applyFont="1" applyFill="1"/>
    <xf numFmtId="0" fontId="19" fillId="6" borderId="0" xfId="0" applyFont="1" applyFill="1"/>
    <xf numFmtId="0" fontId="19" fillId="7" borderId="0" xfId="0" applyFont="1" applyFill="1"/>
    <xf numFmtId="164" fontId="19" fillId="0" borderId="0" xfId="1" applyNumberFormat="1" applyFont="1"/>
    <xf numFmtId="9" fontId="19" fillId="0" borderId="0" xfId="2" applyFont="1"/>
    <xf numFmtId="167" fontId="19" fillId="0" borderId="0" xfId="0" applyNumberFormat="1" applyFont="1"/>
    <xf numFmtId="9" fontId="19" fillId="5" borderId="0" xfId="0" applyNumberFormat="1" applyFont="1" applyFill="1"/>
    <xf numFmtId="9" fontId="19" fillId="7" borderId="0" xfId="0" applyNumberFormat="1" applyFont="1" applyFill="1"/>
    <xf numFmtId="164" fontId="8" fillId="8" borderId="0" xfId="1" applyNumberFormat="1" applyFont="1" applyFill="1"/>
    <xf numFmtId="169" fontId="8" fillId="8" borderId="0" xfId="0" applyNumberFormat="1" applyFont="1" applyFill="1"/>
    <xf numFmtId="169" fontId="12" fillId="8" borderId="0" xfId="0" applyNumberFormat="1" applyFont="1" applyFill="1"/>
    <xf numFmtId="166" fontId="12" fillId="8" borderId="0" xfId="2" applyNumberFormat="1" applyFont="1" applyFill="1"/>
    <xf numFmtId="166" fontId="8" fillId="8" borderId="0" xfId="2" applyNumberFormat="1" applyFont="1" applyFill="1"/>
    <xf numFmtId="169" fontId="8" fillId="3" borderId="0" xfId="0" applyNumberFormat="1" applyFont="1" applyFill="1"/>
    <xf numFmtId="169" fontId="12" fillId="3" borderId="0" xfId="0" applyNumberFormat="1" applyFont="1" applyFill="1"/>
    <xf numFmtId="169" fontId="8" fillId="3" borderId="1" xfId="0" applyNumberFormat="1" applyFont="1" applyFill="1" applyBorder="1"/>
    <xf numFmtId="169" fontId="12" fillId="3" borderId="1" xfId="0" applyNumberFormat="1" applyFont="1" applyFill="1" applyBorder="1"/>
    <xf numFmtId="169" fontId="12" fillId="0" borderId="0" xfId="2" applyNumberFormat="1" applyFont="1"/>
    <xf numFmtId="169" fontId="9" fillId="8" borderId="5" xfId="0" applyNumberFormat="1" applyFont="1" applyFill="1" applyBorder="1"/>
    <xf numFmtId="166" fontId="9" fillId="8" borderId="5" xfId="2" applyNumberFormat="1" applyFont="1" applyFill="1" applyBorder="1"/>
    <xf numFmtId="169" fontId="8" fillId="0" borderId="0" xfId="0" applyNumberFormat="1" applyFont="1"/>
    <xf numFmtId="168" fontId="12" fillId="0" borderId="0" xfId="0" applyNumberFormat="1" applyFont="1"/>
    <xf numFmtId="168" fontId="8" fillId="0" borderId="0" xfId="0" applyNumberFormat="1" applyFont="1"/>
    <xf numFmtId="9" fontId="8" fillId="0" borderId="0" xfId="2" applyFont="1"/>
    <xf numFmtId="0" fontId="24" fillId="0" borderId="0" xfId="0" applyFont="1"/>
    <xf numFmtId="3" fontId="8" fillId="0" borderId="0" xfId="0" applyNumberFormat="1" applyFont="1"/>
    <xf numFmtId="166" fontId="8" fillId="0" borderId="0" xfId="2" applyNumberFormat="1" applyFont="1"/>
    <xf numFmtId="9" fontId="8" fillId="0" borderId="0" xfId="0" applyNumberFormat="1" applyFont="1"/>
    <xf numFmtId="0" fontId="8" fillId="0" borderId="0" xfId="0" applyFont="1"/>
    <xf numFmtId="170" fontId="8" fillId="0" borderId="0" xfId="0" applyNumberFormat="1" applyFont="1"/>
    <xf numFmtId="171" fontId="12" fillId="0" borderId="0" xfId="0" applyNumberFormat="1" applyFont="1"/>
    <xf numFmtId="17" fontId="12" fillId="0" borderId="0" xfId="0" applyNumberFormat="1" applyFont="1"/>
    <xf numFmtId="2" fontId="26" fillId="0" borderId="0" xfId="0" applyNumberFormat="1" applyFont="1"/>
    <xf numFmtId="0" fontId="5" fillId="0" borderId="0" xfId="0" applyFont="1"/>
    <xf numFmtId="0" fontId="12" fillId="7" borderId="0" xfId="0" applyFont="1" applyFill="1"/>
    <xf numFmtId="0" fontId="12" fillId="6" borderId="0" xfId="0" applyFont="1" applyFill="1"/>
    <xf numFmtId="0" fontId="12" fillId="9" borderId="0" xfId="0" applyFont="1" applyFill="1"/>
    <xf numFmtId="164" fontId="27" fillId="0" borderId="0" xfId="1" applyNumberFormat="1" applyFont="1"/>
    <xf numFmtId="10" fontId="27" fillId="0" borderId="0" xfId="0" applyNumberFormat="1" applyFont="1"/>
    <xf numFmtId="164" fontId="12" fillId="0" borderId="0" xfId="0" applyNumberFormat="1" applyFont="1"/>
    <xf numFmtId="10" fontId="8" fillId="0" borderId="0" xfId="0" applyNumberFormat="1" applyFont="1"/>
    <xf numFmtId="0" fontId="28" fillId="0" borderId="0" xfId="0" applyFont="1"/>
    <xf numFmtId="165" fontId="12" fillId="0" borderId="0" xfId="0" applyNumberFormat="1" applyFont="1"/>
    <xf numFmtId="164" fontId="8" fillId="0" borderId="0" xfId="1" applyNumberFormat="1" applyFont="1"/>
    <xf numFmtId="0" fontId="29" fillId="0" borderId="0" xfId="0" applyFont="1"/>
    <xf numFmtId="1" fontId="8" fillId="0" borderId="0" xfId="0" applyNumberFormat="1" applyFont="1"/>
    <xf numFmtId="164" fontId="9" fillId="0" borderId="0" xfId="0" applyNumberFormat="1" applyFont="1"/>
    <xf numFmtId="164" fontId="8" fillId="0" borderId="0" xfId="0" applyNumberFormat="1" applyFont="1"/>
    <xf numFmtId="167" fontId="12" fillId="0" borderId="0" xfId="0" applyNumberFormat="1" applyFont="1"/>
    <xf numFmtId="167" fontId="8" fillId="0" borderId="0" xfId="0" applyNumberFormat="1" applyFont="1"/>
    <xf numFmtId="168" fontId="12" fillId="0" borderId="0" xfId="1" applyNumberFormat="1" applyFont="1"/>
    <xf numFmtId="0" fontId="8" fillId="0" borderId="0" xfId="0" applyFont="1" applyAlignment="1">
      <alignment wrapText="1"/>
    </xf>
    <xf numFmtId="168" fontId="8" fillId="0" borderId="0" xfId="1" applyNumberFormat="1" applyFont="1"/>
    <xf numFmtId="49" fontId="12" fillId="0" borderId="0" xfId="0" applyNumberFormat="1" applyFont="1"/>
    <xf numFmtId="0" fontId="7" fillId="0" borderId="0" xfId="0" applyFont="1" applyAlignment="1">
      <alignment wrapText="1"/>
    </xf>
    <xf numFmtId="0" fontId="25" fillId="0" borderId="2" xfId="0" applyFont="1" applyBorder="1" applyAlignment="1">
      <alignment wrapText="1"/>
    </xf>
    <xf numFmtId="0" fontId="25" fillId="0" borderId="2" xfId="0" applyFont="1" applyBorder="1"/>
    <xf numFmtId="0" fontId="13" fillId="2" borderId="0" xfId="0" applyFont="1" applyFill="1" applyAlignment="1">
      <alignment wrapText="1"/>
    </xf>
    <xf numFmtId="0" fontId="20" fillId="4" borderId="0" xfId="0" applyFont="1" applyFill="1" applyAlignment="1">
      <alignment horizontal="center" wrapText="1"/>
    </xf>
    <xf numFmtId="43" fontId="3" fillId="4" borderId="0" xfId="1" applyFont="1" applyFill="1" applyBorder="1" applyAlignment="1">
      <alignment horizontal="center" wrapText="1"/>
    </xf>
    <xf numFmtId="0" fontId="10" fillId="0" borderId="3" xfId="0" applyFont="1" applyBorder="1" applyAlignment="1">
      <alignment horizontal="center"/>
    </xf>
    <xf numFmtId="0" fontId="12" fillId="0" borderId="3" xfId="0" applyFont="1" applyBorder="1" applyAlignment="1">
      <alignment horizontal="center"/>
    </xf>
    <xf numFmtId="0" fontId="20" fillId="0" borderId="0" xfId="0" applyFont="1" applyAlignment="1">
      <alignment horizontal="center" wrapText="1"/>
    </xf>
    <xf numFmtId="0" fontId="21" fillId="0" borderId="0" xfId="0" applyFont="1" applyAlignment="1">
      <alignment horizontal="center" wrapText="1"/>
    </xf>
    <xf numFmtId="0" fontId="20" fillId="3" borderId="0" xfId="0" applyFont="1" applyFill="1" applyAlignment="1">
      <alignment horizontal="center" wrapText="1"/>
    </xf>
    <xf numFmtId="43" fontId="3" fillId="3" borderId="0" xfId="1" applyFont="1" applyFill="1" applyBorder="1" applyAlignment="1">
      <alignment horizontal="center" wrapText="1"/>
    </xf>
    <xf numFmtId="0" fontId="4" fillId="0" borderId="0" xfId="0" applyFont="1" applyAlignment="1">
      <alignment horizontal="center"/>
    </xf>
    <xf numFmtId="0" fontId="6" fillId="0" borderId="2" xfId="0" applyFont="1" applyBorder="1" applyAlignment="1">
      <alignment horizontal="center"/>
    </xf>
    <xf numFmtId="0" fontId="19" fillId="0" borderId="2" xfId="0" applyFont="1" applyBorder="1" applyAlignment="1">
      <alignment horizontal="center"/>
    </xf>
    <xf numFmtId="0" fontId="2" fillId="2" borderId="0" xfId="0" applyFont="1" applyFill="1" applyAlignment="1">
      <alignment horizontal="center"/>
    </xf>
    <xf numFmtId="0" fontId="12" fillId="2" borderId="0" xfId="0" applyFont="1" applyFill="1" applyAlignment="1">
      <alignment horizontal="center"/>
    </xf>
    <xf numFmtId="0" fontId="15" fillId="2" borderId="0" xfId="0" applyFont="1" applyFill="1" applyAlignment="1">
      <alignment horizontal="center"/>
    </xf>
    <xf numFmtId="0" fontId="16" fillId="2" borderId="0" xfId="0" applyFont="1" applyFill="1" applyAlignment="1">
      <alignment horizontal="center"/>
    </xf>
    <xf numFmtId="0" fontId="17" fillId="2" borderId="0" xfId="0" applyFont="1" applyFill="1" applyAlignment="1">
      <alignment horizontal="center"/>
    </xf>
    <xf numFmtId="0" fontId="18" fillId="2" borderId="0" xfId="0" applyFont="1" applyFill="1" applyAlignment="1">
      <alignment horizontal="center" vertical="center"/>
    </xf>
    <xf numFmtId="0" fontId="3" fillId="0" borderId="2" xfId="0" applyFont="1" applyBorder="1" applyAlignment="1">
      <alignment horizontal="center"/>
    </xf>
    <xf numFmtId="0" fontId="4" fillId="0" borderId="0" xfId="0" applyFont="1" applyAlignment="1">
      <alignment vertical="center" wrapText="1"/>
    </xf>
    <xf numFmtId="0" fontId="4" fillId="0" borderId="0" xfId="0" applyFont="1" applyAlignment="1">
      <alignment horizontal="center" vertical="center" wrapText="1"/>
    </xf>
    <xf numFmtId="0" fontId="12" fillId="0" borderId="2" xfId="0" applyFont="1" applyBorder="1" applyAlignment="1">
      <alignment horizontal="center"/>
    </xf>
  </cellXfs>
  <cellStyles count="3">
    <cellStyle name="Comma" xfId="1" builtinId="3"/>
    <cellStyle name="Normal" xfId="0" builtinId="0"/>
    <cellStyle name="Percent" xfId="2" builtinId="5"/>
  </cellStyles>
  <dxfs count="17">
    <dxf>
      <fill>
        <patternFill>
          <bgColor rgb="FFCCFFCC"/>
        </patternFill>
      </fill>
    </dxf>
    <dxf>
      <fill>
        <patternFill>
          <bgColor rgb="FFFF9999"/>
        </patternFill>
      </fill>
    </dxf>
    <dxf>
      <fill>
        <patternFill>
          <bgColor rgb="FFFFFF99"/>
        </patternFill>
      </fill>
    </dxf>
    <dxf>
      <fill>
        <patternFill>
          <bgColor rgb="FFFFC7CE"/>
        </patternFill>
      </fill>
    </dxf>
    <dxf>
      <fill>
        <patternFill>
          <bgColor rgb="FFFFEB9C"/>
        </patternFill>
      </fill>
    </dxf>
    <dxf>
      <fill>
        <patternFill>
          <bgColor rgb="FFC6EFCE"/>
        </patternFill>
      </fill>
    </dxf>
    <dxf>
      <fill>
        <patternFill>
          <bgColor rgb="FFCCFFCC"/>
        </patternFill>
      </fill>
    </dxf>
    <dxf>
      <fill>
        <patternFill>
          <bgColor rgb="FFFF9999"/>
        </patternFill>
      </fill>
    </dxf>
    <dxf>
      <fill>
        <patternFill>
          <bgColor rgb="FFC6EFCE"/>
        </patternFill>
      </fill>
    </dxf>
    <dxf>
      <fill>
        <patternFill>
          <bgColor rgb="FFFFFF99"/>
        </patternFill>
      </fill>
    </dxf>
    <dxf>
      <fill>
        <patternFill>
          <bgColor rgb="FFFF7C80"/>
        </patternFill>
      </fill>
    </dxf>
    <dxf>
      <fill>
        <patternFill>
          <bgColor rgb="FFFF5050"/>
        </patternFill>
      </fill>
    </dxf>
    <dxf>
      <fill>
        <patternFill>
          <bgColor rgb="FFFFFF99"/>
        </patternFill>
      </fill>
    </dxf>
    <dxf>
      <fill>
        <patternFill>
          <bgColor theme="9" tint="0.59996337778862885"/>
        </patternFill>
      </fill>
    </dxf>
    <dxf>
      <fill>
        <patternFill>
          <bgColor rgb="FFFF5050"/>
        </patternFill>
      </fill>
    </dxf>
    <dxf>
      <fill>
        <patternFill>
          <bgColor rgb="FFFFFF99"/>
        </patternFill>
      </fill>
    </dxf>
    <dxf>
      <fill>
        <patternFill>
          <bgColor theme="9" tint="0.59996337778862885"/>
        </patternFill>
      </fill>
    </dxf>
  </dxfs>
  <tableStyles count="0" defaultTableStyle="TableStyleMedium2" defaultPivotStyle="PivotStyleLight16"/>
  <colors>
    <mruColors>
      <color rgb="FF7030A0"/>
      <color rgb="FF548235"/>
      <color rgb="FF4472C4"/>
      <color rgb="FFFF9900"/>
      <color rgb="FF1F497D"/>
      <color rgb="FFFF9999"/>
      <color rgb="FFFFEB9C"/>
      <color rgb="FFC6EFCE"/>
      <color rgb="FFFFC7CE"/>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7F122-1393-4B42-997C-FA65745098D1}">
  <sheetPr>
    <tabColor rgb="FF1F497D"/>
  </sheetPr>
  <dimension ref="B1:L38"/>
  <sheetViews>
    <sheetView showGridLines="0" tabSelected="1" zoomScale="101" zoomScaleNormal="101" workbookViewId="0">
      <selection activeCell="G25" sqref="G25"/>
    </sheetView>
  </sheetViews>
  <sheetFormatPr defaultColWidth="12.6640625" defaultRowHeight="15" customHeight="1" x14ac:dyDescent="0.3"/>
  <cols>
    <col min="1" max="16384" width="12.6640625" style="7"/>
  </cols>
  <sheetData>
    <row r="1" spans="2:12" ht="4.95" customHeight="1" x14ac:dyDescent="0.3">
      <c r="B1" s="33"/>
      <c r="C1" s="33"/>
      <c r="D1" s="33"/>
      <c r="E1" s="33"/>
      <c r="F1" s="33"/>
      <c r="G1" s="33"/>
      <c r="H1" s="33"/>
      <c r="I1" s="33"/>
      <c r="J1" s="33"/>
      <c r="K1" s="33"/>
      <c r="L1" s="33"/>
    </row>
    <row r="2" spans="2:12" ht="36.6" x14ac:dyDescent="0.7">
      <c r="B2" s="117" t="s">
        <v>242</v>
      </c>
      <c r="C2" s="118"/>
      <c r="D2" s="118"/>
      <c r="E2" s="118"/>
      <c r="F2" s="118"/>
      <c r="G2" s="118"/>
      <c r="H2" s="118"/>
      <c r="I2" s="118"/>
      <c r="J2" s="118"/>
      <c r="K2" s="118"/>
      <c r="L2" s="118"/>
    </row>
    <row r="3" spans="2:12" ht="15" customHeight="1" x14ac:dyDescent="0.3">
      <c r="B3" s="119" t="s">
        <v>243</v>
      </c>
      <c r="C3" s="118"/>
      <c r="D3" s="118"/>
      <c r="E3" s="118"/>
      <c r="F3" s="118"/>
      <c r="G3" s="118"/>
      <c r="H3" s="118"/>
      <c r="I3" s="118"/>
      <c r="J3" s="118"/>
      <c r="K3" s="118"/>
      <c r="L3" s="118"/>
    </row>
    <row r="4" spans="2:12" ht="15" customHeight="1" x14ac:dyDescent="0.3">
      <c r="B4" s="33"/>
      <c r="C4" s="33"/>
      <c r="D4" s="33"/>
      <c r="E4" s="33"/>
      <c r="F4" s="33"/>
      <c r="G4" s="33"/>
      <c r="H4" s="33"/>
      <c r="I4" s="33"/>
      <c r="J4" s="33"/>
      <c r="K4" s="33"/>
      <c r="L4" s="33"/>
    </row>
    <row r="5" spans="2:12" ht="15" customHeight="1" x14ac:dyDescent="0.3">
      <c r="B5" s="120" t="s">
        <v>244</v>
      </c>
      <c r="C5" s="118"/>
      <c r="D5" s="118"/>
      <c r="E5" s="118"/>
      <c r="F5" s="118"/>
      <c r="G5" s="33"/>
      <c r="H5" s="120" t="s">
        <v>518</v>
      </c>
      <c r="I5" s="118"/>
      <c r="J5" s="118"/>
      <c r="K5" s="118"/>
      <c r="L5" s="118"/>
    </row>
    <row r="6" spans="2:12" ht="15" customHeight="1" x14ac:dyDescent="0.3">
      <c r="B6" s="33"/>
      <c r="C6" s="33"/>
      <c r="D6" s="33"/>
      <c r="E6" s="33"/>
      <c r="F6" s="33"/>
      <c r="G6" s="33"/>
      <c r="H6" s="121" t="str">
        <f ca="1">"Valuation Date: "&amp;TEXT(TODAY(), "DD MMM YYYY")</f>
        <v>Valuation Date: 10 Sep 2026</v>
      </c>
      <c r="I6" s="121"/>
      <c r="J6" s="121"/>
      <c r="K6" s="121"/>
      <c r="L6" s="121"/>
    </row>
    <row r="7" spans="2:12" ht="15" customHeight="1" x14ac:dyDescent="0.3">
      <c r="B7" s="122" t="s">
        <v>245</v>
      </c>
      <c r="C7" s="122"/>
      <c r="D7" s="122"/>
      <c r="E7" s="122"/>
      <c r="F7" s="122"/>
      <c r="G7" s="122"/>
      <c r="H7" s="122"/>
      <c r="I7" s="122"/>
      <c r="J7" s="122"/>
      <c r="K7" s="122"/>
      <c r="L7" s="122"/>
    </row>
    <row r="8" spans="2:12" ht="15" customHeight="1" x14ac:dyDescent="0.3">
      <c r="B8" s="33"/>
      <c r="C8" s="33"/>
      <c r="D8" s="33"/>
      <c r="E8" s="33"/>
      <c r="F8" s="33"/>
      <c r="G8" s="33"/>
      <c r="H8" s="33"/>
      <c r="I8" s="33"/>
      <c r="J8" s="33"/>
      <c r="K8" s="33"/>
      <c r="L8" s="33"/>
    </row>
    <row r="10" spans="2:12" ht="15" customHeight="1" thickBot="1" x14ac:dyDescent="0.35">
      <c r="B10" s="123" t="s">
        <v>246</v>
      </c>
      <c r="C10" s="123"/>
      <c r="D10" s="123"/>
      <c r="E10" s="123"/>
      <c r="F10" s="123"/>
      <c r="G10" s="123"/>
      <c r="H10" s="123"/>
      <c r="I10" s="123"/>
      <c r="J10" s="123"/>
      <c r="K10" s="123"/>
      <c r="L10" s="123"/>
    </row>
    <row r="12" spans="2:12" ht="15" customHeight="1" x14ac:dyDescent="0.3">
      <c r="B12" s="124" t="s">
        <v>247</v>
      </c>
      <c r="C12" s="124"/>
      <c r="D12" s="124"/>
      <c r="E12" s="124"/>
      <c r="F12" s="124"/>
      <c r="G12" s="124"/>
      <c r="H12" s="124"/>
      <c r="I12" s="124"/>
      <c r="J12" s="124"/>
      <c r="K12" s="124"/>
      <c r="L12" s="124"/>
    </row>
    <row r="13" spans="2:12" ht="15" customHeight="1" x14ac:dyDescent="0.3">
      <c r="B13" s="124"/>
      <c r="C13" s="124"/>
      <c r="D13" s="124"/>
      <c r="E13" s="124"/>
      <c r="F13" s="124"/>
      <c r="G13" s="124"/>
      <c r="H13" s="124"/>
      <c r="I13" s="124"/>
      <c r="J13" s="124"/>
      <c r="K13" s="124"/>
      <c r="L13" s="124"/>
    </row>
    <row r="14" spans="2:12" ht="15" customHeight="1" x14ac:dyDescent="0.3">
      <c r="B14" s="125" t="s">
        <v>248</v>
      </c>
      <c r="C14" s="125"/>
      <c r="D14" s="125"/>
      <c r="E14" s="125"/>
      <c r="F14" s="125"/>
      <c r="G14" s="125"/>
      <c r="H14" s="125"/>
      <c r="I14" s="125"/>
      <c r="J14" s="125"/>
      <c r="K14" s="125"/>
      <c r="L14" s="125"/>
    </row>
    <row r="15" spans="2:12" ht="15" customHeight="1" x14ac:dyDescent="0.3">
      <c r="B15" s="125"/>
      <c r="C15" s="125"/>
      <c r="D15" s="125"/>
      <c r="E15" s="125"/>
      <c r="F15" s="125"/>
      <c r="G15" s="125"/>
      <c r="H15" s="125"/>
      <c r="I15" s="125"/>
      <c r="J15" s="125"/>
      <c r="K15" s="125"/>
      <c r="L15" s="125"/>
    </row>
    <row r="16" spans="2:12" ht="15" customHeight="1" x14ac:dyDescent="0.3">
      <c r="B16" s="125" t="s">
        <v>267</v>
      </c>
      <c r="C16" s="125"/>
      <c r="D16" s="125"/>
      <c r="E16" s="125"/>
      <c r="F16" s="125"/>
      <c r="G16" s="125"/>
      <c r="H16" s="125"/>
      <c r="I16" s="125"/>
      <c r="J16" s="125"/>
      <c r="K16" s="125"/>
      <c r="L16" s="125"/>
    </row>
    <row r="17" spans="2:12" ht="15" customHeight="1" x14ac:dyDescent="0.3">
      <c r="B17" s="125"/>
      <c r="C17" s="125"/>
      <c r="D17" s="125"/>
      <c r="E17" s="125"/>
      <c r="F17" s="125"/>
      <c r="G17" s="125"/>
      <c r="H17" s="125"/>
      <c r="I17" s="125"/>
      <c r="J17" s="125"/>
      <c r="K17" s="125"/>
      <c r="L17" s="125"/>
    </row>
    <row r="20" spans="2:12" ht="15" customHeight="1" thickBot="1" x14ac:dyDescent="0.35">
      <c r="B20" s="115" t="s">
        <v>249</v>
      </c>
      <c r="C20" s="116"/>
      <c r="D20" s="116"/>
      <c r="E20" s="116"/>
      <c r="F20" s="116"/>
      <c r="H20" s="115" t="s">
        <v>257</v>
      </c>
      <c r="I20" s="126"/>
      <c r="J20" s="126"/>
      <c r="K20" s="126"/>
      <c r="L20" s="126"/>
    </row>
    <row r="22" spans="2:12" ht="15" customHeight="1" x14ac:dyDescent="0.3">
      <c r="B22" s="112" t="s">
        <v>250</v>
      </c>
      <c r="C22" s="112"/>
      <c r="D22" s="113" t="str">
        <f>"₹"&amp;TEXT(DCF_Valuation!B65,"##,##0")&amp;" per share"</f>
        <v>₹2,035 per share</v>
      </c>
      <c r="E22" s="113"/>
      <c r="H22" s="114" t="s">
        <v>258</v>
      </c>
      <c r="I22" s="114"/>
      <c r="J22" s="114"/>
      <c r="K22" s="114"/>
      <c r="L22" s="114"/>
    </row>
    <row r="23" spans="2:12" ht="15" customHeight="1" x14ac:dyDescent="0.3">
      <c r="B23" s="106" t="s">
        <v>251</v>
      </c>
      <c r="C23" s="106"/>
      <c r="D23" s="107" t="str">
        <f>"₹"&amp;TEXT(DCF_Valuation!B64,"##,##0")&amp;" per share"</f>
        <v>₹959 per share</v>
      </c>
      <c r="E23" s="107"/>
      <c r="H23" s="114" t="s">
        <v>259</v>
      </c>
      <c r="I23" s="114"/>
      <c r="J23" s="114"/>
      <c r="K23" s="114"/>
      <c r="L23" s="114"/>
    </row>
    <row r="24" spans="2:12" ht="15" customHeight="1" x14ac:dyDescent="0.3">
      <c r="B24" s="112" t="s">
        <v>252</v>
      </c>
      <c r="C24" s="112"/>
      <c r="D24" s="113" t="str">
        <f>"₹"&amp;TEXT(DCF_Valuation!B50,"##,##0")&amp;" Cr"</f>
        <v>₹8,16,149 Cr</v>
      </c>
      <c r="E24" s="113"/>
      <c r="H24" s="114" t="s">
        <v>260</v>
      </c>
      <c r="I24" s="114"/>
      <c r="J24" s="114"/>
      <c r="K24" s="114"/>
      <c r="L24" s="114"/>
    </row>
    <row r="25" spans="2:12" ht="15" customHeight="1" x14ac:dyDescent="0.3">
      <c r="B25" s="106" t="s">
        <v>253</v>
      </c>
      <c r="C25" s="106"/>
      <c r="D25" s="107" t="str">
        <f>"₹"&amp;TEXT(IS_Forecast!G4,"##,##0")&amp;" Cr"</f>
        <v>₹2,06,527 Cr</v>
      </c>
      <c r="E25" s="107"/>
      <c r="H25" s="114" t="s">
        <v>261</v>
      </c>
      <c r="I25" s="114"/>
      <c r="J25" s="114"/>
      <c r="K25" s="114"/>
      <c r="L25" s="114"/>
    </row>
    <row r="26" spans="2:12" ht="15" customHeight="1" x14ac:dyDescent="0.3">
      <c r="B26" s="112" t="s">
        <v>254</v>
      </c>
      <c r="C26" s="112"/>
      <c r="D26" s="113" t="str">
        <f>TEXT(IS_Forecast!G11,"0.0%")</f>
        <v>26.5%</v>
      </c>
      <c r="E26" s="113"/>
      <c r="H26" s="114" t="s">
        <v>262</v>
      </c>
      <c r="I26" s="114"/>
      <c r="J26" s="114"/>
      <c r="K26" s="114"/>
      <c r="L26" s="114"/>
    </row>
    <row r="27" spans="2:12" ht="15" customHeight="1" x14ac:dyDescent="0.3">
      <c r="B27" s="106" t="s">
        <v>255</v>
      </c>
      <c r="C27" s="106"/>
      <c r="D27" s="107" t="str">
        <f>"₹"&amp;TEXT(CFS_Forecast!G28,"##,##0")&amp;" Cr"</f>
        <v>₹38,332 Cr</v>
      </c>
      <c r="E27" s="107"/>
      <c r="H27" s="114" t="s">
        <v>263</v>
      </c>
      <c r="I27" s="114"/>
      <c r="J27" s="114"/>
      <c r="K27" s="114"/>
      <c r="L27" s="114"/>
    </row>
    <row r="28" spans="2:12" ht="15" customHeight="1" x14ac:dyDescent="0.3">
      <c r="B28" s="112" t="s">
        <v>61</v>
      </c>
      <c r="C28" s="112"/>
      <c r="D28" s="113" t="str">
        <f>TEXT(Assumptions!B49,"0.0%")</f>
        <v>12.5%</v>
      </c>
      <c r="E28" s="113"/>
    </row>
    <row r="29" spans="2:12" ht="15" customHeight="1" x14ac:dyDescent="0.3">
      <c r="B29" s="106" t="s">
        <v>256</v>
      </c>
      <c r="C29" s="106"/>
      <c r="D29" s="107" t="str">
        <f>TEXT(Assumptions!B50,"0.0%")</f>
        <v>4.5%</v>
      </c>
      <c r="E29" s="107"/>
    </row>
    <row r="33" spans="2:12" ht="15" customHeight="1" thickBot="1" x14ac:dyDescent="0.35">
      <c r="B33" s="34"/>
      <c r="C33" s="34"/>
      <c r="D33" s="35"/>
      <c r="E33" s="34"/>
      <c r="F33" s="34"/>
      <c r="G33" s="34"/>
      <c r="H33" s="34"/>
      <c r="I33" s="34"/>
      <c r="J33" s="34"/>
      <c r="K33" s="34"/>
      <c r="L33" s="34"/>
    </row>
    <row r="34" spans="2:12" ht="15" customHeight="1" x14ac:dyDescent="0.3">
      <c r="B34" s="108" t="s">
        <v>264</v>
      </c>
      <c r="C34" s="109"/>
      <c r="D34" s="109"/>
      <c r="E34" s="109"/>
      <c r="F34" s="109"/>
      <c r="G34" s="109"/>
      <c r="H34" s="109"/>
      <c r="I34" s="109"/>
      <c r="J34" s="109"/>
      <c r="K34" s="109"/>
      <c r="L34" s="109"/>
    </row>
    <row r="35" spans="2:12" ht="15" customHeight="1" x14ac:dyDescent="0.3">
      <c r="B35" s="110" t="s">
        <v>265</v>
      </c>
      <c r="C35" s="110"/>
      <c r="D35" s="110"/>
      <c r="E35" s="110"/>
      <c r="F35" s="110"/>
      <c r="G35" s="110"/>
      <c r="H35" s="110"/>
      <c r="I35" s="110"/>
      <c r="J35" s="110"/>
      <c r="K35" s="110"/>
      <c r="L35" s="110"/>
    </row>
    <row r="36" spans="2:12" ht="15" customHeight="1" x14ac:dyDescent="0.3">
      <c r="B36" s="110"/>
      <c r="C36" s="110"/>
      <c r="D36" s="110"/>
      <c r="E36" s="110"/>
      <c r="F36" s="110"/>
      <c r="G36" s="110"/>
      <c r="H36" s="110"/>
      <c r="I36" s="110"/>
      <c r="J36" s="110"/>
      <c r="K36" s="110"/>
      <c r="L36" s="110"/>
    </row>
    <row r="37" spans="2:12" ht="15" customHeight="1" x14ac:dyDescent="0.3">
      <c r="B37" s="111" t="s">
        <v>266</v>
      </c>
      <c r="C37" s="111"/>
      <c r="D37" s="111"/>
      <c r="E37" s="111"/>
      <c r="F37" s="111"/>
      <c r="G37" s="111"/>
      <c r="H37" s="111"/>
      <c r="I37" s="111"/>
      <c r="J37" s="111"/>
      <c r="K37" s="111"/>
      <c r="L37" s="111"/>
    </row>
    <row r="38" spans="2:12" ht="15" customHeight="1" x14ac:dyDescent="0.3">
      <c r="B38" s="111"/>
      <c r="C38" s="111"/>
      <c r="D38" s="111"/>
      <c r="E38" s="111"/>
      <c r="F38" s="111"/>
      <c r="G38" s="111"/>
      <c r="H38" s="111"/>
      <c r="I38" s="111"/>
      <c r="J38" s="111"/>
      <c r="K38" s="111"/>
      <c r="L38" s="111"/>
    </row>
  </sheetData>
  <mergeCells count="37">
    <mergeCell ref="B20:F20"/>
    <mergeCell ref="B2:L2"/>
    <mergeCell ref="B3:L3"/>
    <mergeCell ref="B5:F5"/>
    <mergeCell ref="H5:L5"/>
    <mergeCell ref="H6:L6"/>
    <mergeCell ref="B7:L7"/>
    <mergeCell ref="B10:L10"/>
    <mergeCell ref="B12:L13"/>
    <mergeCell ref="B14:L15"/>
    <mergeCell ref="B16:L17"/>
    <mergeCell ref="H20:L20"/>
    <mergeCell ref="B25:C25"/>
    <mergeCell ref="D25:E25"/>
    <mergeCell ref="B26:C26"/>
    <mergeCell ref="D26:E26"/>
    <mergeCell ref="B22:C22"/>
    <mergeCell ref="D22:E22"/>
    <mergeCell ref="B23:C23"/>
    <mergeCell ref="D23:E23"/>
    <mergeCell ref="B24:C24"/>
    <mergeCell ref="D24:E24"/>
    <mergeCell ref="H22:L22"/>
    <mergeCell ref="H23:L23"/>
    <mergeCell ref="H24:L24"/>
    <mergeCell ref="H25:L25"/>
    <mergeCell ref="H27:L27"/>
    <mergeCell ref="H26:L26"/>
    <mergeCell ref="B27:C27"/>
    <mergeCell ref="D27:E27"/>
    <mergeCell ref="B34:L34"/>
    <mergeCell ref="B35:L36"/>
    <mergeCell ref="B37:L38"/>
    <mergeCell ref="B28:C28"/>
    <mergeCell ref="D28:E28"/>
    <mergeCell ref="B29:C29"/>
    <mergeCell ref="D29:E29"/>
  </mergeCells>
  <pageMargins left="0.7" right="0.7" top="0.75" bottom="0.75" header="0.3" footer="0.3"/>
  <pageSetup scale="6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47985-C7E9-4A92-9C85-824060A3ABB5}">
  <sheetPr>
    <tabColor rgb="FFFF9900"/>
  </sheetPr>
  <dimension ref="A1:F69"/>
  <sheetViews>
    <sheetView showGridLines="0" zoomScale="85" zoomScaleNormal="85" workbookViewId="0">
      <selection activeCell="M19" sqref="M19"/>
    </sheetView>
  </sheetViews>
  <sheetFormatPr defaultColWidth="8.77734375" defaultRowHeight="15" customHeight="1" x14ac:dyDescent="0.3"/>
  <cols>
    <col min="1" max="1" width="52.5546875" style="7" bestFit="1" customWidth="1"/>
    <col min="2" max="2" width="12.6640625" style="7" customWidth="1"/>
    <col min="3" max="3" width="8.77734375" style="7" bestFit="1" customWidth="1"/>
    <col min="4" max="6" width="7.77734375" style="7" bestFit="1" customWidth="1"/>
    <col min="7" max="16384" width="8.77734375" style="7"/>
  </cols>
  <sheetData>
    <row r="1" spans="1:6" ht="15" customHeight="1" x14ac:dyDescent="0.35">
      <c r="A1" s="36" t="s">
        <v>0</v>
      </c>
    </row>
    <row r="2" spans="1:6" ht="15" customHeight="1" x14ac:dyDescent="0.3">
      <c r="A2" s="37" t="s">
        <v>1</v>
      </c>
    </row>
    <row r="4" spans="1:6" ht="18" customHeight="1" thickBot="1" x14ac:dyDescent="0.35">
      <c r="A4" s="104" t="s">
        <v>15</v>
      </c>
    </row>
    <row r="5" spans="1:6" ht="15" customHeight="1" x14ac:dyDescent="0.3">
      <c r="A5" s="38" t="s">
        <v>2</v>
      </c>
      <c r="B5" s="39">
        <f>CHOOSE(MATCH($B$68,{"Bear Case","Base Case","Bull Case"},0),Scenarios!B7,Scenarios!C7,Scenarios!D7)</f>
        <v>3.5000000000000003E-2</v>
      </c>
      <c r="C5" s="7" t="s">
        <v>3</v>
      </c>
    </row>
    <row r="6" spans="1:6" ht="15" customHeight="1" x14ac:dyDescent="0.3">
      <c r="A6" s="38" t="s">
        <v>4</v>
      </c>
      <c r="B6" s="39">
        <f>CHOOSE(MATCH($B$68,{"Bear Case","Base Case","Bull Case"},0),Scenarios!B8,Scenarios!C8,Scenarios!D8)</f>
        <v>0.06</v>
      </c>
      <c r="C6" s="7" t="s">
        <v>11</v>
      </c>
    </row>
    <row r="7" spans="1:6" ht="15" customHeight="1" x14ac:dyDescent="0.3">
      <c r="A7" s="38" t="s">
        <v>5</v>
      </c>
      <c r="B7" s="39">
        <f>CHOOSE(MATCH($B$68,{"Bear Case","Base Case","Bull Case"},0),Scenarios!B9,Scenarios!C9,Scenarios!D9)</f>
        <v>7.4999999999999997E-2</v>
      </c>
      <c r="C7" s="7" t="s">
        <v>12</v>
      </c>
    </row>
    <row r="8" spans="1:6" ht="15" customHeight="1" x14ac:dyDescent="0.3">
      <c r="A8" s="38" t="s">
        <v>6</v>
      </c>
      <c r="B8" s="39">
        <f>CHOOSE(MATCH($B$68,{"Bear Case","Base Case","Bull Case"},0),Scenarios!B10,Scenarios!C10,Scenarios!D10)</f>
        <v>7.0000000000000007E-2</v>
      </c>
      <c r="C8" s="7" t="s">
        <v>7</v>
      </c>
    </row>
    <row r="9" spans="1:6" ht="15" customHeight="1" x14ac:dyDescent="0.3">
      <c r="A9" s="38" t="s">
        <v>8</v>
      </c>
      <c r="B9" s="39">
        <f>CHOOSE(MATCH($B$68,{"Bear Case","Base Case","Bull Case"},0),Scenarios!B11,Scenarios!C11,Scenarios!D11)</f>
        <v>6.5000000000000002E-2</v>
      </c>
      <c r="C9" s="7" t="s">
        <v>13</v>
      </c>
    </row>
    <row r="10" spans="1:6" ht="15" customHeight="1" x14ac:dyDescent="0.3">
      <c r="A10" s="38" t="s">
        <v>9</v>
      </c>
      <c r="B10" s="10">
        <v>153670</v>
      </c>
      <c r="C10" s="7" t="s">
        <v>10</v>
      </c>
    </row>
    <row r="12" spans="1:6" ht="18" customHeight="1" thickBot="1" x14ac:dyDescent="0.35">
      <c r="A12" s="103" t="s">
        <v>14</v>
      </c>
      <c r="B12" s="105" t="s">
        <v>16</v>
      </c>
      <c r="C12" s="8" t="s">
        <v>17</v>
      </c>
      <c r="D12" s="8" t="s">
        <v>18</v>
      </c>
      <c r="E12" s="8" t="s">
        <v>19</v>
      </c>
      <c r="F12" s="8" t="s">
        <v>20</v>
      </c>
    </row>
    <row r="13" spans="1:6" ht="15" customHeight="1" x14ac:dyDescent="0.3">
      <c r="A13" s="38" t="s">
        <v>21</v>
      </c>
      <c r="B13" s="39">
        <v>0.28999999999999998</v>
      </c>
      <c r="C13" s="39">
        <v>0.29499999999999998</v>
      </c>
      <c r="D13" s="40">
        <v>0.3</v>
      </c>
      <c r="E13" s="39">
        <v>0.30199999999999999</v>
      </c>
      <c r="F13" s="39">
        <v>0.30499999999999999</v>
      </c>
    </row>
    <row r="14" spans="1:6" ht="15" customHeight="1" x14ac:dyDescent="0.3">
      <c r="A14" s="38" t="s">
        <v>22</v>
      </c>
      <c r="B14" s="39">
        <f>CHOOSE(MATCH($B$68,{"Bear Case","Base Case","Bull Case"},0),Scenarios!B14,Scenarios!C14,Scenarios!D14)</f>
        <v>0.245</v>
      </c>
      <c r="C14" s="39">
        <f>CHOOSE(MATCH($B$68,{"Bear Case","Base Case","Bull Case"},0),Scenarios!B15,Scenarios!C15,Scenarios!D15)</f>
        <v>0.252</v>
      </c>
      <c r="D14" s="39">
        <f>CHOOSE(MATCH($B$68,{"Bear Case","Base Case","Bull Case"},0),Scenarios!B16,Scenarios!C16,Scenarios!D16)</f>
        <v>0.25800000000000001</v>
      </c>
      <c r="E14" s="39">
        <f>CHOOSE(MATCH($B$68,{"Bear Case","Base Case","Bull Case"},0),Scenarios!B17,Scenarios!C17,Scenarios!D17)</f>
        <v>0.26200000000000001</v>
      </c>
      <c r="F14" s="39">
        <f>CHOOSE(MATCH($B$68,{"Bear Case","Base Case","Bull Case"},0),Scenarios!B18,Scenarios!C18,Scenarios!D18)</f>
        <v>0.26500000000000001</v>
      </c>
    </row>
    <row r="15" spans="1:6" ht="15" customHeight="1" x14ac:dyDescent="0.3">
      <c r="A15" s="38" t="s">
        <v>23</v>
      </c>
      <c r="B15" s="39">
        <v>0.03</v>
      </c>
      <c r="C15" s="39">
        <v>0.03</v>
      </c>
      <c r="D15" s="39">
        <v>0.03</v>
      </c>
      <c r="E15" s="39">
        <v>2.9000000000000001E-2</v>
      </c>
      <c r="F15" s="39">
        <v>2.9000000000000001E-2</v>
      </c>
    </row>
    <row r="16" spans="1:6" ht="15" customHeight="1" x14ac:dyDescent="0.3">
      <c r="A16" s="38" t="s">
        <v>24</v>
      </c>
      <c r="B16" s="39">
        <v>0.215</v>
      </c>
      <c r="C16" s="39">
        <v>0.222</v>
      </c>
      <c r="D16" s="39">
        <v>0.22800000000000001</v>
      </c>
      <c r="E16" s="39">
        <v>0.23300000000000001</v>
      </c>
      <c r="F16" s="39">
        <v>0.23599999999999999</v>
      </c>
    </row>
    <row r="17" spans="1:6" ht="15" customHeight="1" x14ac:dyDescent="0.3">
      <c r="A17" s="38" t="s">
        <v>25</v>
      </c>
      <c r="B17" s="10">
        <v>3650</v>
      </c>
      <c r="C17" s="10">
        <v>3900</v>
      </c>
      <c r="D17" s="10">
        <v>4150</v>
      </c>
      <c r="E17" s="10">
        <v>4400</v>
      </c>
      <c r="F17" s="10">
        <v>4650</v>
      </c>
    </row>
    <row r="19" spans="1:6" ht="18" customHeight="1" thickBot="1" x14ac:dyDescent="0.35">
      <c r="A19" s="104" t="s">
        <v>26</v>
      </c>
    </row>
    <row r="20" spans="1:6" ht="15" customHeight="1" x14ac:dyDescent="0.3">
      <c r="A20" s="38" t="s">
        <v>27</v>
      </c>
      <c r="B20" s="39">
        <v>0.26</v>
      </c>
      <c r="C20" s="38" t="s">
        <v>30</v>
      </c>
    </row>
    <row r="21" spans="1:6" ht="15" customHeight="1" x14ac:dyDescent="0.3">
      <c r="A21" s="38" t="s">
        <v>28</v>
      </c>
      <c r="B21" s="7">
        <v>720</v>
      </c>
      <c r="C21" s="38" t="s">
        <v>31</v>
      </c>
    </row>
    <row r="22" spans="1:6" ht="15" customHeight="1" x14ac:dyDescent="0.3">
      <c r="A22" s="38" t="s">
        <v>29</v>
      </c>
      <c r="B22" s="7">
        <v>40</v>
      </c>
      <c r="C22" s="41" t="s">
        <v>32</v>
      </c>
    </row>
    <row r="24" spans="1:6" ht="18" customHeight="1" thickBot="1" x14ac:dyDescent="0.35">
      <c r="A24" s="103" t="s">
        <v>33</v>
      </c>
      <c r="B24" s="8" t="s">
        <v>16</v>
      </c>
      <c r="C24" s="8" t="s">
        <v>17</v>
      </c>
      <c r="D24" s="8" t="s">
        <v>18</v>
      </c>
      <c r="E24" s="8" t="s">
        <v>19</v>
      </c>
      <c r="F24" s="8" t="s">
        <v>20</v>
      </c>
    </row>
    <row r="25" spans="1:6" ht="15" customHeight="1" x14ac:dyDescent="0.3">
      <c r="A25" s="38" t="s">
        <v>34</v>
      </c>
      <c r="B25" s="39">
        <v>2.7E-2</v>
      </c>
      <c r="C25" s="39">
        <v>2.5999999999999999E-2</v>
      </c>
      <c r="D25" s="39">
        <v>2.5999999999999999E-2</v>
      </c>
      <c r="E25" s="39">
        <v>2.5000000000000001E-2</v>
      </c>
      <c r="F25" s="39">
        <v>2.5000000000000001E-2</v>
      </c>
    </row>
    <row r="26" spans="1:6" ht="15" customHeight="1" x14ac:dyDescent="0.3">
      <c r="A26" s="38" t="s">
        <v>35</v>
      </c>
      <c r="B26" s="39">
        <v>0.03</v>
      </c>
      <c r="C26" s="39">
        <v>0.03</v>
      </c>
      <c r="D26" s="39">
        <v>0.03</v>
      </c>
      <c r="E26" s="39">
        <v>2.8999999999999998E-2</v>
      </c>
      <c r="F26" s="39">
        <v>2.8999999999999998E-2</v>
      </c>
    </row>
    <row r="28" spans="1:6" ht="18" customHeight="1" thickBot="1" x14ac:dyDescent="0.35">
      <c r="A28" s="104" t="s">
        <v>36</v>
      </c>
    </row>
    <row r="29" spans="1:6" ht="15" customHeight="1" x14ac:dyDescent="0.3">
      <c r="A29" s="38" t="s">
        <v>37</v>
      </c>
      <c r="B29" s="7">
        <v>67</v>
      </c>
      <c r="C29" s="7" t="s">
        <v>41</v>
      </c>
    </row>
    <row r="30" spans="1:6" ht="15" customHeight="1" x14ac:dyDescent="0.3">
      <c r="A30" s="38" t="s">
        <v>38</v>
      </c>
      <c r="B30" s="7">
        <v>20</v>
      </c>
      <c r="C30" s="7" t="s">
        <v>42</v>
      </c>
    </row>
    <row r="31" spans="1:6" ht="15" customHeight="1" x14ac:dyDescent="0.3">
      <c r="A31" s="38" t="s">
        <v>39</v>
      </c>
      <c r="B31" s="39">
        <v>6.8000000000000005E-2</v>
      </c>
      <c r="C31" s="7" t="s">
        <v>43</v>
      </c>
    </row>
    <row r="32" spans="1:6" ht="15" customHeight="1" x14ac:dyDescent="0.3">
      <c r="A32" s="38" t="s">
        <v>40</v>
      </c>
      <c r="B32" s="39">
        <v>3.5000000000000003E-2</v>
      </c>
      <c r="C32" s="7" t="s">
        <v>44</v>
      </c>
    </row>
    <row r="34" spans="1:3" ht="18" customHeight="1" thickBot="1" x14ac:dyDescent="0.35">
      <c r="A34" s="104" t="s">
        <v>45</v>
      </c>
    </row>
    <row r="35" spans="1:3" ht="15" customHeight="1" x14ac:dyDescent="0.3">
      <c r="A35" s="38" t="s">
        <v>46</v>
      </c>
      <c r="B35" s="39">
        <v>0.55000000000000004</v>
      </c>
      <c r="C35" s="38" t="s">
        <v>52</v>
      </c>
    </row>
    <row r="36" spans="1:3" ht="15" customHeight="1" x14ac:dyDescent="0.3">
      <c r="A36" s="38" t="s">
        <v>47</v>
      </c>
      <c r="B36" s="7">
        <v>0</v>
      </c>
      <c r="C36" s="42" t="s">
        <v>53</v>
      </c>
    </row>
    <row r="37" spans="1:3" ht="15" customHeight="1" x14ac:dyDescent="0.3">
      <c r="A37" s="38" t="s">
        <v>48</v>
      </c>
      <c r="B37" s="10">
        <v>5000</v>
      </c>
      <c r="C37" s="42" t="s">
        <v>53</v>
      </c>
    </row>
    <row r="38" spans="1:3" ht="15" customHeight="1" x14ac:dyDescent="0.3">
      <c r="A38" s="38" t="s">
        <v>49</v>
      </c>
      <c r="B38" s="7">
        <v>0</v>
      </c>
      <c r="C38" s="42" t="s">
        <v>53</v>
      </c>
    </row>
    <row r="39" spans="1:3" ht="15" customHeight="1" x14ac:dyDescent="0.3">
      <c r="A39" s="38" t="s">
        <v>50</v>
      </c>
      <c r="B39" s="10">
        <v>5000</v>
      </c>
      <c r="C39" s="42" t="s">
        <v>53</v>
      </c>
    </row>
    <row r="40" spans="1:3" ht="15" customHeight="1" x14ac:dyDescent="0.3">
      <c r="A40" s="38" t="s">
        <v>51</v>
      </c>
      <c r="B40" s="7">
        <v>0</v>
      </c>
      <c r="C40" s="42" t="s">
        <v>53</v>
      </c>
    </row>
    <row r="42" spans="1:3" ht="18" customHeight="1" thickBot="1" x14ac:dyDescent="0.35">
      <c r="A42" s="104" t="s">
        <v>54</v>
      </c>
    </row>
    <row r="43" spans="1:3" ht="15" customHeight="1" x14ac:dyDescent="0.3">
      <c r="A43" s="38" t="s">
        <v>55</v>
      </c>
      <c r="B43" s="39">
        <v>7.0000000000000007E-2</v>
      </c>
      <c r="C43" s="42" t="s">
        <v>65</v>
      </c>
    </row>
    <row r="44" spans="1:3" ht="15" customHeight="1" x14ac:dyDescent="0.3">
      <c r="A44" s="38" t="s">
        <v>56</v>
      </c>
      <c r="B44" s="39">
        <v>6.5000000000000002E-2</v>
      </c>
      <c r="C44" s="42" t="s">
        <v>66</v>
      </c>
    </row>
    <row r="45" spans="1:3" ht="15" customHeight="1" x14ac:dyDescent="0.3">
      <c r="A45" s="38" t="s">
        <v>57</v>
      </c>
      <c r="B45" s="7">
        <v>0.85</v>
      </c>
      <c r="C45" s="42" t="s">
        <v>67</v>
      </c>
    </row>
    <row r="46" spans="1:3" ht="15" customHeight="1" x14ac:dyDescent="0.3">
      <c r="A46" s="38" t="s">
        <v>58</v>
      </c>
      <c r="B46" s="39">
        <f>B43+B45*B44</f>
        <v>0.12525</v>
      </c>
      <c r="C46" s="101" t="s">
        <v>68</v>
      </c>
    </row>
    <row r="47" spans="1:3" ht="15" customHeight="1" x14ac:dyDescent="0.3">
      <c r="A47" s="38" t="s">
        <v>59</v>
      </c>
      <c r="B47" s="39">
        <v>0</v>
      </c>
      <c r="C47" s="42" t="s">
        <v>69</v>
      </c>
    </row>
    <row r="48" spans="1:3" ht="15" customHeight="1" x14ac:dyDescent="0.3">
      <c r="A48" s="38" t="s">
        <v>60</v>
      </c>
      <c r="B48" s="39">
        <v>0</v>
      </c>
      <c r="C48" s="42" t="s">
        <v>69</v>
      </c>
    </row>
    <row r="49" spans="1:6" ht="15" customHeight="1" x14ac:dyDescent="0.3">
      <c r="A49" s="38" t="s">
        <v>61</v>
      </c>
      <c r="B49" s="39">
        <f>CHOOSE(MATCH($B$68,{"Bear Case","Base Case","Bull Case"},0),Scenarios!B23,Scenarios!C23,Scenarios!D23)</f>
        <v>0.12525</v>
      </c>
      <c r="C49" s="101" t="s">
        <v>70</v>
      </c>
    </row>
    <row r="50" spans="1:6" ht="15" customHeight="1" x14ac:dyDescent="0.3">
      <c r="A50" s="38" t="s">
        <v>62</v>
      </c>
      <c r="B50" s="39">
        <f>CHOOSE(MATCH($B$68,{"Bear Case","Base Case","Bull Case"},0),Scenarios!B21,Scenarios!C21,Scenarios!D21)</f>
        <v>4.4999999999999998E-2</v>
      </c>
      <c r="C50" s="42" t="s">
        <v>71</v>
      </c>
    </row>
    <row r="51" spans="1:6" ht="15" customHeight="1" x14ac:dyDescent="0.3">
      <c r="A51" s="38" t="s">
        <v>63</v>
      </c>
      <c r="B51" s="43">
        <v>415</v>
      </c>
      <c r="C51" s="101" t="s">
        <v>72</v>
      </c>
    </row>
    <row r="52" spans="1:6" ht="15" customHeight="1" x14ac:dyDescent="0.3">
      <c r="A52" s="38" t="s">
        <v>64</v>
      </c>
      <c r="B52" s="10">
        <v>1600</v>
      </c>
      <c r="C52" s="42" t="s">
        <v>73</v>
      </c>
    </row>
    <row r="53" spans="1:6" ht="15" customHeight="1" x14ac:dyDescent="0.3">
      <c r="A53" s="38" t="s">
        <v>190</v>
      </c>
      <c r="B53" s="7">
        <f>CHOOSE(MATCH($B$68,{"Bear Case","Base Case","Bull Case"},0),Scenarios!B22,Scenarios!C22,Scenarios!D22)</f>
        <v>22</v>
      </c>
    </row>
    <row r="55" spans="1:6" ht="18" customHeight="1" thickBot="1" x14ac:dyDescent="0.35">
      <c r="A55" s="103" t="s">
        <v>74</v>
      </c>
      <c r="B55" s="8" t="s">
        <v>16</v>
      </c>
      <c r="C55" s="8" t="s">
        <v>17</v>
      </c>
      <c r="D55" s="8" t="s">
        <v>18</v>
      </c>
      <c r="E55" s="8" t="s">
        <v>19</v>
      </c>
      <c r="F55" s="8" t="s">
        <v>20</v>
      </c>
    </row>
    <row r="56" spans="1:6" ht="15" customHeight="1" x14ac:dyDescent="0.3">
      <c r="A56" s="38" t="s">
        <v>75</v>
      </c>
      <c r="B56" s="39">
        <v>0.08</v>
      </c>
      <c r="C56" s="39">
        <v>0.08</v>
      </c>
      <c r="D56" s="39">
        <v>0.08</v>
      </c>
      <c r="E56" s="39">
        <v>0.08</v>
      </c>
      <c r="F56" s="39">
        <v>0.08</v>
      </c>
    </row>
    <row r="57" spans="1:6" ht="15" customHeight="1" x14ac:dyDescent="0.3">
      <c r="A57" s="38" t="s">
        <v>76</v>
      </c>
      <c r="B57" s="10">
        <v>6300</v>
      </c>
      <c r="C57" s="10">
        <v>6400</v>
      </c>
      <c r="D57" s="10">
        <v>6400</v>
      </c>
      <c r="E57" s="10">
        <v>6500</v>
      </c>
      <c r="F57" s="10">
        <v>6500</v>
      </c>
    </row>
    <row r="58" spans="1:6" ht="15" customHeight="1" x14ac:dyDescent="0.3">
      <c r="A58" s="38" t="s">
        <v>77</v>
      </c>
      <c r="B58" s="10">
        <v>6500</v>
      </c>
      <c r="C58" s="10">
        <v>6200</v>
      </c>
      <c r="D58" s="10">
        <v>5900</v>
      </c>
      <c r="E58" s="10">
        <v>5650</v>
      </c>
      <c r="F58" s="10">
        <v>5400</v>
      </c>
    </row>
    <row r="59" spans="1:6" ht="15" customHeight="1" x14ac:dyDescent="0.3">
      <c r="A59" s="38" t="s">
        <v>78</v>
      </c>
      <c r="B59" s="10">
        <v>23100</v>
      </c>
      <c r="C59" s="10">
        <v>24200</v>
      </c>
      <c r="D59" s="10">
        <v>25400</v>
      </c>
      <c r="E59" s="10">
        <v>26700</v>
      </c>
      <c r="F59" s="10">
        <v>28100</v>
      </c>
    </row>
    <row r="60" spans="1:6" ht="15" customHeight="1" x14ac:dyDescent="0.3">
      <c r="A60" s="38" t="s">
        <v>79</v>
      </c>
      <c r="B60" s="10">
        <v>20400</v>
      </c>
      <c r="C60" s="10">
        <v>21100</v>
      </c>
      <c r="D60" s="10">
        <v>22000</v>
      </c>
      <c r="E60" s="10">
        <v>23000</v>
      </c>
      <c r="F60" s="10">
        <v>24100</v>
      </c>
    </row>
    <row r="61" spans="1:6" ht="15" customHeight="1" x14ac:dyDescent="0.3">
      <c r="A61" s="38" t="s">
        <v>80</v>
      </c>
      <c r="B61" s="10">
        <v>8400</v>
      </c>
      <c r="C61" s="10">
        <v>8600</v>
      </c>
      <c r="D61" s="10">
        <v>8600</v>
      </c>
      <c r="E61" s="10">
        <v>8800</v>
      </c>
      <c r="F61" s="10">
        <v>8800</v>
      </c>
    </row>
    <row r="62" spans="1:6" ht="15" customHeight="1" x14ac:dyDescent="0.3">
      <c r="A62" s="38" t="s">
        <v>81</v>
      </c>
      <c r="B62" s="10">
        <v>7800</v>
      </c>
      <c r="C62" s="10">
        <v>8050</v>
      </c>
      <c r="D62" s="10">
        <v>8300</v>
      </c>
      <c r="E62" s="10">
        <v>8550</v>
      </c>
      <c r="F62" s="10">
        <v>8800</v>
      </c>
    </row>
    <row r="63" spans="1:6" ht="15" customHeight="1" x14ac:dyDescent="0.3">
      <c r="A63" s="38" t="s">
        <v>82</v>
      </c>
      <c r="B63" s="10">
        <v>2072</v>
      </c>
      <c r="C63" s="10">
        <v>2072</v>
      </c>
      <c r="D63" s="10">
        <v>2072</v>
      </c>
      <c r="E63" s="10">
        <v>2072</v>
      </c>
      <c r="F63" s="10">
        <v>2072</v>
      </c>
    </row>
    <row r="64" spans="1:6" ht="15" customHeight="1" x14ac:dyDescent="0.3">
      <c r="A64" s="38" t="s">
        <v>83</v>
      </c>
      <c r="B64" s="10">
        <v>2542</v>
      </c>
      <c r="C64" s="10">
        <v>2526</v>
      </c>
      <c r="D64" s="10">
        <v>2721</v>
      </c>
      <c r="E64" s="10">
        <v>3546</v>
      </c>
      <c r="F64" s="10">
        <v>2477</v>
      </c>
    </row>
    <row r="65" spans="1:6" ht="15" customHeight="1" x14ac:dyDescent="0.3">
      <c r="A65" s="38" t="s">
        <v>84</v>
      </c>
      <c r="B65" s="10">
        <v>200</v>
      </c>
      <c r="C65" s="10">
        <v>300</v>
      </c>
      <c r="D65" s="10">
        <v>200</v>
      </c>
      <c r="E65" s="10">
        <v>250</v>
      </c>
      <c r="F65" s="10">
        <v>200</v>
      </c>
    </row>
    <row r="66" spans="1:6" ht="18" customHeight="1" x14ac:dyDescent="0.3"/>
    <row r="67" spans="1:6" ht="15" customHeight="1" thickBot="1" x14ac:dyDescent="0.35">
      <c r="A67" s="104" t="s">
        <v>281</v>
      </c>
    </row>
    <row r="68" spans="1:6" ht="15" customHeight="1" thickBot="1" x14ac:dyDescent="0.35">
      <c r="A68" s="38" t="s">
        <v>282</v>
      </c>
      <c r="B68" s="44" t="s">
        <v>270</v>
      </c>
    </row>
    <row r="69" spans="1:6" ht="15" customHeight="1" x14ac:dyDescent="0.3">
      <c r="A69" s="38" t="s">
        <v>270</v>
      </c>
    </row>
  </sheetData>
  <dataValidations count="1">
    <dataValidation type="list" allowBlank="1" showInputMessage="1" showErrorMessage="1" sqref="B68" xr:uid="{579ADC52-16D4-4243-954C-92AA378FDBF2}">
      <formula1>"Bear Case, Base Case, Bull Case"</formula1>
    </dataValidation>
  </dataValidations>
  <pageMargins left="0.7" right="0.7" top="0.75" bottom="0.75" header="0.3" footer="0.3"/>
  <pageSetup scale="94" orientation="landscape" r:id="rId1"/>
  <rowBreaks count="1" manualBreakCount="1">
    <brk id="33"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6A80A-1BAA-4845-BB8C-685D6BF40E73}">
  <sheetPr>
    <tabColor rgb="FFFF9900"/>
  </sheetPr>
  <dimension ref="A1:F32"/>
  <sheetViews>
    <sheetView showGridLines="0" zoomScale="85" zoomScaleNormal="85" workbookViewId="0">
      <selection activeCell="C38" sqref="C38"/>
    </sheetView>
  </sheetViews>
  <sheetFormatPr defaultColWidth="8.77734375" defaultRowHeight="14.4" x14ac:dyDescent="0.3"/>
  <cols>
    <col min="1" max="1" width="39" style="7" bestFit="1" customWidth="1"/>
    <col min="2" max="2" width="12.77734375" style="7" bestFit="1" customWidth="1"/>
    <col min="3" max="3" width="13.21875" style="7" bestFit="1" customWidth="1"/>
    <col min="4" max="4" width="11.77734375" style="7" bestFit="1" customWidth="1"/>
    <col min="5" max="7" width="11.21875" style="7" bestFit="1" customWidth="1"/>
    <col min="8" max="16384" width="8.77734375" style="7"/>
  </cols>
  <sheetData>
    <row r="1" spans="1:4" ht="18" x14ac:dyDescent="0.35">
      <c r="A1" s="6" t="s">
        <v>268</v>
      </c>
    </row>
    <row r="2" spans="1:4" x14ac:dyDescent="0.3">
      <c r="A2" s="7" t="s">
        <v>1</v>
      </c>
    </row>
    <row r="4" spans="1:4" x14ac:dyDescent="0.3">
      <c r="B4" s="1" t="s">
        <v>269</v>
      </c>
      <c r="C4" s="4" t="s">
        <v>270</v>
      </c>
      <c r="D4" s="5" t="s">
        <v>271</v>
      </c>
    </row>
    <row r="6" spans="1:4" ht="15" thickBot="1" x14ac:dyDescent="0.35">
      <c r="A6" s="32" t="s">
        <v>272</v>
      </c>
    </row>
    <row r="7" spans="1:4" x14ac:dyDescent="0.3">
      <c r="A7" s="7" t="s">
        <v>16</v>
      </c>
      <c r="B7" s="45">
        <v>0.02</v>
      </c>
      <c r="C7" s="46">
        <v>3.5000000000000003E-2</v>
      </c>
      <c r="D7" s="47">
        <v>4.4999999999999998E-2</v>
      </c>
    </row>
    <row r="8" spans="1:4" x14ac:dyDescent="0.3">
      <c r="A8" s="7" t="s">
        <v>17</v>
      </c>
      <c r="B8" s="45">
        <v>0.04</v>
      </c>
      <c r="C8" s="46">
        <v>0.06</v>
      </c>
      <c r="D8" s="47">
        <v>0.08</v>
      </c>
    </row>
    <row r="9" spans="1:4" x14ac:dyDescent="0.3">
      <c r="A9" s="7" t="s">
        <v>18</v>
      </c>
      <c r="B9" s="45">
        <v>0.05</v>
      </c>
      <c r="C9" s="46">
        <v>7.4999999999999997E-2</v>
      </c>
      <c r="D9" s="47">
        <v>0.1</v>
      </c>
    </row>
    <row r="10" spans="1:4" x14ac:dyDescent="0.3">
      <c r="A10" s="7" t="s">
        <v>19</v>
      </c>
      <c r="B10" s="45">
        <v>4.4999999999999998E-2</v>
      </c>
      <c r="C10" s="46">
        <v>7.0000000000000007E-2</v>
      </c>
      <c r="D10" s="47">
        <v>0.09</v>
      </c>
    </row>
    <row r="11" spans="1:4" x14ac:dyDescent="0.3">
      <c r="A11" s="7" t="s">
        <v>20</v>
      </c>
      <c r="B11" s="45">
        <v>0.04</v>
      </c>
      <c r="C11" s="46">
        <v>6.5000000000000002E-2</v>
      </c>
      <c r="D11" s="47">
        <v>0.08</v>
      </c>
    </row>
    <row r="13" spans="1:4" ht="15" thickBot="1" x14ac:dyDescent="0.35">
      <c r="A13" s="32" t="s">
        <v>273</v>
      </c>
    </row>
    <row r="14" spans="1:4" x14ac:dyDescent="0.3">
      <c r="A14" s="7" t="s">
        <v>16</v>
      </c>
      <c r="B14" s="45">
        <v>0.22500000000000001</v>
      </c>
      <c r="C14" s="46">
        <v>0.245</v>
      </c>
      <c r="D14" s="47">
        <v>0.26</v>
      </c>
    </row>
    <row r="15" spans="1:4" x14ac:dyDescent="0.3">
      <c r="A15" s="7" t="s">
        <v>17</v>
      </c>
      <c r="B15" s="45">
        <v>0.23</v>
      </c>
      <c r="C15" s="46">
        <v>0.252</v>
      </c>
      <c r="D15" s="47">
        <v>0.26800000000000002</v>
      </c>
    </row>
    <row r="16" spans="1:4" x14ac:dyDescent="0.3">
      <c r="A16" s="7" t="s">
        <v>18</v>
      </c>
      <c r="B16" s="45">
        <v>0.23499999999999999</v>
      </c>
      <c r="C16" s="46">
        <v>0.25800000000000001</v>
      </c>
      <c r="D16" s="47">
        <v>0.27500000000000002</v>
      </c>
    </row>
    <row r="17" spans="1:6" x14ac:dyDescent="0.3">
      <c r="A17" s="7" t="s">
        <v>19</v>
      </c>
      <c r="B17" s="45">
        <v>0.23799999999999999</v>
      </c>
      <c r="C17" s="46">
        <v>0.26200000000000001</v>
      </c>
      <c r="D17" s="47">
        <v>0.28000000000000003</v>
      </c>
    </row>
    <row r="18" spans="1:6" x14ac:dyDescent="0.3">
      <c r="A18" s="7" t="s">
        <v>20</v>
      </c>
      <c r="B18" s="45">
        <v>0.24</v>
      </c>
      <c r="C18" s="46">
        <v>0.26500000000000001</v>
      </c>
      <c r="D18" s="47">
        <v>0.28499999999999998</v>
      </c>
    </row>
    <row r="20" spans="1:6" ht="15" thickBot="1" x14ac:dyDescent="0.35">
      <c r="A20" s="32" t="s">
        <v>274</v>
      </c>
    </row>
    <row r="21" spans="1:6" x14ac:dyDescent="0.3">
      <c r="A21" s="7" t="s">
        <v>256</v>
      </c>
      <c r="B21" s="45">
        <v>3.5000000000000003E-2</v>
      </c>
      <c r="C21" s="46">
        <v>4.4999999999999998E-2</v>
      </c>
      <c r="D21" s="47">
        <v>5.5E-2</v>
      </c>
    </row>
    <row r="22" spans="1:6" x14ac:dyDescent="0.3">
      <c r="A22" s="7" t="s">
        <v>190</v>
      </c>
      <c r="B22" s="48">
        <v>18</v>
      </c>
      <c r="C22" s="49">
        <v>22</v>
      </c>
      <c r="D22" s="50">
        <v>26</v>
      </c>
    </row>
    <row r="23" spans="1:6" x14ac:dyDescent="0.3">
      <c r="A23" s="7" t="s">
        <v>61</v>
      </c>
      <c r="B23" s="45">
        <v>0.13500000000000001</v>
      </c>
      <c r="C23" s="46">
        <v>0.12525</v>
      </c>
      <c r="D23" s="47">
        <v>0.115</v>
      </c>
    </row>
    <row r="26" spans="1:6" ht="15" thickBot="1" x14ac:dyDescent="0.35">
      <c r="A26" s="32" t="s">
        <v>275</v>
      </c>
    </row>
    <row r="27" spans="1:6" x14ac:dyDescent="0.3">
      <c r="A27" s="7" t="s">
        <v>276</v>
      </c>
      <c r="B27" s="7" t="s">
        <v>269</v>
      </c>
      <c r="C27" s="7" t="s">
        <v>270</v>
      </c>
      <c r="D27" s="7" t="s">
        <v>271</v>
      </c>
    </row>
    <row r="28" spans="1:6" x14ac:dyDescent="0.3">
      <c r="A28" s="7" t="s">
        <v>277</v>
      </c>
      <c r="B28" s="51">
        <v>186020.81001503998</v>
      </c>
      <c r="C28" s="51">
        <v>206527.15193455122</v>
      </c>
      <c r="D28" s="51">
        <v>224580.51623304002</v>
      </c>
      <c r="E28" s="51"/>
      <c r="F28" s="51"/>
    </row>
    <row r="29" spans="1:6" x14ac:dyDescent="0.3">
      <c r="A29" s="7" t="s">
        <v>254</v>
      </c>
      <c r="B29" s="52">
        <v>0.23999999999999996</v>
      </c>
      <c r="C29" s="52">
        <v>0.27</v>
      </c>
      <c r="D29" s="52">
        <v>0.28999999999999998</v>
      </c>
      <c r="E29" s="51"/>
      <c r="F29" s="51"/>
    </row>
    <row r="30" spans="1:6" x14ac:dyDescent="0.3">
      <c r="A30" s="7" t="s">
        <v>278</v>
      </c>
      <c r="B30" s="51">
        <v>28233</v>
      </c>
      <c r="C30" s="51">
        <v>34171</v>
      </c>
      <c r="D30" s="51">
        <v>39857</v>
      </c>
      <c r="E30" s="51"/>
      <c r="F30" s="51"/>
    </row>
    <row r="31" spans="1:6" x14ac:dyDescent="0.3">
      <c r="A31" s="7" t="s">
        <v>279</v>
      </c>
      <c r="B31" s="53">
        <v>1386.06</v>
      </c>
      <c r="C31" s="53">
        <v>2034.86</v>
      </c>
      <c r="D31" s="53">
        <v>2821.08</v>
      </c>
    </row>
    <row r="32" spans="1:6" x14ac:dyDescent="0.3">
      <c r="A32" s="7" t="s">
        <v>280</v>
      </c>
      <c r="B32" s="54">
        <v>-0.13</v>
      </c>
      <c r="C32" s="55">
        <v>0.27</v>
      </c>
      <c r="D32" s="55">
        <v>0.76</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A8751-ED65-40C7-BB46-5FFF8120E0F2}">
  <sheetPr>
    <tabColor rgb="FF4472C4"/>
  </sheetPr>
  <dimension ref="A1:F78"/>
  <sheetViews>
    <sheetView showGridLines="0" zoomScale="85" zoomScaleNormal="85" workbookViewId="0">
      <selection activeCell="G15" sqref="G15"/>
    </sheetView>
  </sheetViews>
  <sheetFormatPr defaultColWidth="8.77734375" defaultRowHeight="14.4" x14ac:dyDescent="0.3"/>
  <cols>
    <col min="1" max="1" width="35.44140625" style="7" bestFit="1" customWidth="1"/>
    <col min="2" max="7" width="13.6640625" style="7" customWidth="1"/>
    <col min="8" max="16384" width="8.77734375" style="7"/>
  </cols>
  <sheetData>
    <row r="1" spans="1:6" ht="18" x14ac:dyDescent="0.35">
      <c r="A1" s="36" t="s">
        <v>85</v>
      </c>
    </row>
    <row r="2" spans="1:6" x14ac:dyDescent="0.3">
      <c r="A2" s="7" t="s">
        <v>86</v>
      </c>
    </row>
    <row r="3" spans="1:6" ht="15" thickBot="1" x14ac:dyDescent="0.35">
      <c r="A3" s="103" t="s">
        <v>87</v>
      </c>
      <c r="B3" s="8" t="s">
        <v>88</v>
      </c>
      <c r="C3" s="8" t="s">
        <v>89</v>
      </c>
      <c r="D3" s="8" t="s">
        <v>90</v>
      </c>
      <c r="E3" s="8" t="s">
        <v>91</v>
      </c>
      <c r="F3" s="8" t="s">
        <v>92</v>
      </c>
    </row>
    <row r="4" spans="1:6" x14ac:dyDescent="0.3">
      <c r="A4" s="38" t="s">
        <v>93</v>
      </c>
      <c r="B4" s="10">
        <v>90791</v>
      </c>
      <c r="C4" s="10">
        <v>100472</v>
      </c>
      <c r="D4" s="10">
        <v>121641</v>
      </c>
      <c r="E4" s="10">
        <v>146767</v>
      </c>
      <c r="F4" s="10">
        <v>153670</v>
      </c>
    </row>
    <row r="5" spans="1:6" x14ac:dyDescent="0.3">
      <c r="A5" s="38" t="s">
        <v>94</v>
      </c>
      <c r="B5" s="39">
        <v>9.8000000000000004E-2</v>
      </c>
      <c r="C5" s="39">
        <f>(C4-B4)/B4</f>
        <v>0.10662951173574474</v>
      </c>
      <c r="D5" s="39">
        <f>(D4-C4)/C4</f>
        <v>0.21069551715900947</v>
      </c>
      <c r="E5" s="39">
        <f>(E4-D4)/D4</f>
        <v>0.20655864387829762</v>
      </c>
      <c r="F5" s="39">
        <f>(F4-E4)/E4</f>
        <v>4.7033733741236108E-2</v>
      </c>
    </row>
    <row r="6" spans="1:6" x14ac:dyDescent="0.3">
      <c r="A6" s="38" t="s">
        <v>95</v>
      </c>
      <c r="B6" s="10">
        <v>-63055</v>
      </c>
      <c r="C6" s="10">
        <v>-69125</v>
      </c>
      <c r="D6" s="10">
        <v>-85750</v>
      </c>
      <c r="E6" s="10">
        <v>-105675</v>
      </c>
      <c r="F6" s="10">
        <v>-109610</v>
      </c>
    </row>
    <row r="7" spans="1:6" x14ac:dyDescent="0.3">
      <c r="A7" s="38" t="s">
        <v>96</v>
      </c>
      <c r="B7" s="10">
        <f>B4+B6</f>
        <v>27736</v>
      </c>
      <c r="C7" s="10">
        <f>C4+C6</f>
        <v>31347</v>
      </c>
      <c r="D7" s="10">
        <f>D4+D6</f>
        <v>35891</v>
      </c>
      <c r="E7" s="10">
        <f>E4+E6</f>
        <v>41092</v>
      </c>
      <c r="F7" s="10">
        <f>F4+F6</f>
        <v>44060</v>
      </c>
    </row>
    <row r="8" spans="1:6" x14ac:dyDescent="0.3">
      <c r="A8" s="38" t="s">
        <v>97</v>
      </c>
      <c r="B8" s="39">
        <f>B7/B4</f>
        <v>0.30549283519291559</v>
      </c>
      <c r="C8" s="39">
        <f>C7/C4</f>
        <v>0.31199737240226133</v>
      </c>
      <c r="D8" s="39">
        <f>D7/D4</f>
        <v>0.29505676539982406</v>
      </c>
      <c r="E8" s="39">
        <f>E7/E4</f>
        <v>0.27998119468272842</v>
      </c>
      <c r="F8" s="39">
        <f>F7/F4</f>
        <v>0.28671829244484937</v>
      </c>
    </row>
    <row r="9" spans="1:6" x14ac:dyDescent="0.3">
      <c r="A9" s="38" t="s">
        <v>98</v>
      </c>
      <c r="B9" s="10">
        <v>-8358</v>
      </c>
      <c r="C9" s="10">
        <v>-6662</v>
      </c>
      <c r="D9" s="10">
        <v>-8353</v>
      </c>
      <c r="E9" s="10">
        <v>-11060</v>
      </c>
      <c r="F9" s="10">
        <v>-11545</v>
      </c>
    </row>
    <row r="10" spans="1:6" x14ac:dyDescent="0.3">
      <c r="A10" s="38" t="s">
        <v>99</v>
      </c>
      <c r="B10" s="10">
        <f>B7+B9</f>
        <v>19378</v>
      </c>
      <c r="C10" s="10">
        <f>C7+C9</f>
        <v>24685</v>
      </c>
      <c r="D10" s="10">
        <f>D7+D9</f>
        <v>27538</v>
      </c>
      <c r="E10" s="10">
        <f>E7+E9</f>
        <v>30032</v>
      </c>
      <c r="F10" s="10">
        <f>F7+F9</f>
        <v>32515</v>
      </c>
    </row>
    <row r="11" spans="1:6" x14ac:dyDescent="0.3">
      <c r="A11" s="38" t="s">
        <v>100</v>
      </c>
      <c r="B11" s="39">
        <f>B10/B4</f>
        <v>0.21343525239285832</v>
      </c>
      <c r="C11" s="39">
        <f>C10/C4</f>
        <v>0.24569034158770603</v>
      </c>
      <c r="D11" s="39">
        <f>D10/D4</f>
        <v>0.22638748448302792</v>
      </c>
      <c r="E11" s="39">
        <f>E10/E4</f>
        <v>0.20462365518134185</v>
      </c>
      <c r="F11" s="39">
        <f>F10/F4</f>
        <v>0.21158977028697859</v>
      </c>
    </row>
    <row r="12" spans="1:6" x14ac:dyDescent="0.3">
      <c r="A12" s="38" t="s">
        <v>101</v>
      </c>
      <c r="B12" s="10">
        <v>-2871</v>
      </c>
      <c r="C12" s="10">
        <v>-3370</v>
      </c>
      <c r="D12" s="10">
        <v>-3775</v>
      </c>
      <c r="E12" s="10">
        <v>-4213</v>
      </c>
      <c r="F12" s="10">
        <v>-4490</v>
      </c>
    </row>
    <row r="13" spans="1:6" x14ac:dyDescent="0.3">
      <c r="A13" s="38" t="s">
        <v>102</v>
      </c>
      <c r="B13" s="10">
        <f>B10+B12</f>
        <v>16507</v>
      </c>
      <c r="C13" s="10">
        <f>C10+C12</f>
        <v>21315</v>
      </c>
      <c r="D13" s="10">
        <f>D10+D12</f>
        <v>23763</v>
      </c>
      <c r="E13" s="10">
        <f>E10+E12</f>
        <v>25819</v>
      </c>
      <c r="F13" s="10">
        <f>F10+F12</f>
        <v>28025</v>
      </c>
    </row>
    <row r="14" spans="1:6" x14ac:dyDescent="0.3">
      <c r="A14" s="38" t="s">
        <v>103</v>
      </c>
      <c r="B14" s="39">
        <f>B13/B4</f>
        <v>0.18181317531473384</v>
      </c>
      <c r="C14" s="39">
        <f>C13/C4</f>
        <v>0.2121486583326698</v>
      </c>
      <c r="D14" s="39">
        <f>D13/D4</f>
        <v>0.19535354033590649</v>
      </c>
      <c r="E14" s="39">
        <f>E13/E4</f>
        <v>0.17591829225915909</v>
      </c>
      <c r="F14" s="39">
        <f>F13/F4</f>
        <v>0.18237131515585345</v>
      </c>
    </row>
    <row r="15" spans="1:6" x14ac:dyDescent="0.3">
      <c r="A15" s="38" t="s">
        <v>104</v>
      </c>
      <c r="B15" s="10">
        <v>2877</v>
      </c>
      <c r="C15" s="10">
        <v>2620</v>
      </c>
      <c r="D15" s="10">
        <v>2780</v>
      </c>
      <c r="E15" s="10">
        <v>3200</v>
      </c>
      <c r="F15" s="10">
        <v>3450</v>
      </c>
    </row>
    <row r="16" spans="1:6" x14ac:dyDescent="0.3">
      <c r="A16" s="38" t="s">
        <v>105</v>
      </c>
      <c r="B16" s="10">
        <f>B13+B15</f>
        <v>19384</v>
      </c>
      <c r="C16" s="10">
        <f>C13+C15</f>
        <v>23935</v>
      </c>
      <c r="D16" s="10">
        <f>D13+D15</f>
        <v>26543</v>
      </c>
      <c r="E16" s="10">
        <f>E13+E15</f>
        <v>29019</v>
      </c>
      <c r="F16" s="10">
        <f>F13+F15</f>
        <v>31475</v>
      </c>
    </row>
    <row r="17" spans="1:6" x14ac:dyDescent="0.3">
      <c r="A17" s="38" t="s">
        <v>106</v>
      </c>
      <c r="B17" s="10">
        <v>-5661</v>
      </c>
      <c r="C17" s="10">
        <v>-7954</v>
      </c>
      <c r="D17" s="10">
        <v>-8208</v>
      </c>
      <c r="E17" s="10">
        <v>-9124</v>
      </c>
      <c r="F17" s="10">
        <v>-9732</v>
      </c>
    </row>
    <row r="18" spans="1:6" x14ac:dyDescent="0.3">
      <c r="A18" s="38" t="s">
        <v>107</v>
      </c>
      <c r="B18" s="39">
        <f>-B17/B16</f>
        <v>0.292044985555097</v>
      </c>
      <c r="C18" s="39">
        <f>-C17/C16</f>
        <v>0.33231669103822853</v>
      </c>
      <c r="D18" s="39">
        <f>-D17/D16</f>
        <v>0.30923407301360056</v>
      </c>
      <c r="E18" s="39">
        <f>-E17/E16</f>
        <v>0.3144146938212895</v>
      </c>
      <c r="F18" s="39">
        <f>-F17/F16</f>
        <v>0.30919777601270848</v>
      </c>
    </row>
    <row r="19" spans="1:6" x14ac:dyDescent="0.3">
      <c r="A19" s="38" t="s">
        <v>108</v>
      </c>
      <c r="B19" s="10">
        <f>B16+B17</f>
        <v>13723</v>
      </c>
      <c r="C19" s="10">
        <f>C16+C17</f>
        <v>15981</v>
      </c>
      <c r="D19" s="10">
        <f>D16+D17</f>
        <v>18335</v>
      </c>
      <c r="E19" s="10">
        <f>E16+E17</f>
        <v>19895</v>
      </c>
      <c r="F19" s="10">
        <f>F16+F17</f>
        <v>21743</v>
      </c>
    </row>
    <row r="20" spans="1:6" x14ac:dyDescent="0.3">
      <c r="A20" s="38" t="s">
        <v>109</v>
      </c>
      <c r="B20" s="39">
        <f>B19/B4</f>
        <v>0.15114934299655253</v>
      </c>
      <c r="C20" s="39">
        <f>C19/C4</f>
        <v>0.159059240385381</v>
      </c>
      <c r="D20" s="39">
        <f>D19/D4</f>
        <v>0.15073042806290643</v>
      </c>
      <c r="E20" s="39">
        <f>E19/E4</f>
        <v>0.13555499533273829</v>
      </c>
      <c r="F20" s="39">
        <f>F19/F4</f>
        <v>0.14149150777640399</v>
      </c>
    </row>
    <row r="22" spans="1:6" ht="15" thickBot="1" x14ac:dyDescent="0.35">
      <c r="A22" s="103" t="s">
        <v>110</v>
      </c>
      <c r="B22" s="8" t="s">
        <v>88</v>
      </c>
      <c r="C22" s="8" t="s">
        <v>89</v>
      </c>
      <c r="D22" s="8" t="s">
        <v>90</v>
      </c>
      <c r="E22" s="8" t="s">
        <v>91</v>
      </c>
      <c r="F22" s="8" t="s">
        <v>92</v>
      </c>
    </row>
    <row r="23" spans="1:6" x14ac:dyDescent="0.3">
      <c r="A23" s="38" t="s">
        <v>111</v>
      </c>
    </row>
    <row r="24" spans="1:6" x14ac:dyDescent="0.3">
      <c r="A24" s="38" t="s">
        <v>112</v>
      </c>
      <c r="B24" s="10">
        <v>17936</v>
      </c>
      <c r="C24" s="10">
        <v>22002</v>
      </c>
      <c r="D24" s="10">
        <v>17491</v>
      </c>
      <c r="E24" s="10">
        <v>12547</v>
      </c>
      <c r="F24" s="10">
        <v>15003</v>
      </c>
    </row>
    <row r="25" spans="1:6" x14ac:dyDescent="0.3">
      <c r="A25" s="38" t="s">
        <v>113</v>
      </c>
      <c r="B25" s="10">
        <v>6390</v>
      </c>
      <c r="C25" s="10">
        <v>8493</v>
      </c>
      <c r="D25" s="10">
        <v>12406</v>
      </c>
      <c r="E25" s="10">
        <v>9998</v>
      </c>
      <c r="F25" s="10">
        <v>13315</v>
      </c>
    </row>
    <row r="26" spans="1:6" x14ac:dyDescent="0.3">
      <c r="A26" s="38" t="s">
        <v>114</v>
      </c>
      <c r="B26" s="10">
        <v>18604</v>
      </c>
      <c r="C26" s="10">
        <v>19975</v>
      </c>
      <c r="D26" s="10">
        <v>24537</v>
      </c>
      <c r="E26" s="10">
        <v>27558</v>
      </c>
      <c r="F26" s="10">
        <v>28840</v>
      </c>
    </row>
    <row r="27" spans="1:6" x14ac:dyDescent="0.3">
      <c r="A27" s="38" t="s">
        <v>115</v>
      </c>
      <c r="B27" s="10">
        <v>6200</v>
      </c>
      <c r="C27" s="10">
        <v>7300</v>
      </c>
      <c r="D27" s="10">
        <v>8400</v>
      </c>
      <c r="E27" s="10">
        <v>9800</v>
      </c>
      <c r="F27" s="10">
        <v>10500</v>
      </c>
    </row>
    <row r="28" spans="1:6" x14ac:dyDescent="0.3">
      <c r="A28" s="38" t="s">
        <v>116</v>
      </c>
      <c r="B28" s="10">
        <f>SUM(B24:B27)</f>
        <v>49130</v>
      </c>
      <c r="C28" s="10">
        <f>SUM(C24:C27)</f>
        <v>57770</v>
      </c>
      <c r="D28" s="10">
        <f>SUM(D24:D27)</f>
        <v>62834</v>
      </c>
      <c r="E28" s="10">
        <f>SUM(E24:E27)</f>
        <v>59903</v>
      </c>
      <c r="F28" s="10">
        <f>SUM(F24:F27)</f>
        <v>67658</v>
      </c>
    </row>
    <row r="29" spans="1:6" x14ac:dyDescent="0.3">
      <c r="A29" s="38" t="s">
        <v>117</v>
      </c>
      <c r="B29" s="10">
        <v>12450</v>
      </c>
      <c r="C29" s="10">
        <v>12850</v>
      </c>
      <c r="D29" s="10">
        <v>13750</v>
      </c>
      <c r="E29" s="10">
        <v>14700</v>
      </c>
      <c r="F29" s="10">
        <v>14500</v>
      </c>
    </row>
    <row r="30" spans="1:6" x14ac:dyDescent="0.3">
      <c r="A30" s="38" t="s">
        <v>118</v>
      </c>
      <c r="B30" s="10">
        <v>5800</v>
      </c>
      <c r="C30" s="10">
        <v>5400</v>
      </c>
      <c r="D30" s="10">
        <v>5100</v>
      </c>
      <c r="E30" s="10">
        <v>5800</v>
      </c>
      <c r="F30" s="10">
        <v>6200</v>
      </c>
    </row>
    <row r="31" spans="1:6" x14ac:dyDescent="0.3">
      <c r="A31" s="38" t="s">
        <v>119</v>
      </c>
      <c r="B31" s="10">
        <v>4438</v>
      </c>
      <c r="C31" s="10">
        <v>5650</v>
      </c>
      <c r="D31" s="10">
        <v>7306</v>
      </c>
      <c r="E31" s="10">
        <v>7100</v>
      </c>
      <c r="F31" s="10">
        <v>6814</v>
      </c>
    </row>
    <row r="32" spans="1:6" x14ac:dyDescent="0.3">
      <c r="A32" s="38" t="s">
        <v>120</v>
      </c>
      <c r="B32" s="10">
        <v>5250</v>
      </c>
      <c r="C32" s="10">
        <v>7833</v>
      </c>
      <c r="D32" s="10">
        <v>10850</v>
      </c>
      <c r="E32" s="10">
        <v>20305</v>
      </c>
      <c r="F32" s="10">
        <v>22200</v>
      </c>
    </row>
    <row r="33" spans="1:6" x14ac:dyDescent="0.3">
      <c r="A33" s="38" t="s">
        <v>121</v>
      </c>
      <c r="B33" s="10">
        <f>SUM(B29:B32)</f>
        <v>27938</v>
      </c>
      <c r="C33" s="10">
        <f>SUM(C29:C32)</f>
        <v>31733</v>
      </c>
      <c r="D33" s="10">
        <f>SUM(D29:D32)</f>
        <v>37006</v>
      </c>
      <c r="E33" s="10">
        <f>SUM(E29:E32)</f>
        <v>47905</v>
      </c>
      <c r="F33" s="10">
        <f>SUM(F29:F32)</f>
        <v>49714</v>
      </c>
    </row>
    <row r="34" spans="1:6" x14ac:dyDescent="0.3">
      <c r="A34" s="38" t="s">
        <v>122</v>
      </c>
      <c r="B34" s="10">
        <f>B28+B33</f>
        <v>77068</v>
      </c>
      <c r="C34" s="10">
        <f>C28+C33</f>
        <v>89503</v>
      </c>
      <c r="D34" s="10">
        <f>D28+D33</f>
        <v>99840</v>
      </c>
      <c r="E34" s="10">
        <f>E28+E33</f>
        <v>107808</v>
      </c>
      <c r="F34" s="10">
        <f>F28+F33</f>
        <v>117372</v>
      </c>
    </row>
    <row r="35" spans="1:6" x14ac:dyDescent="0.3">
      <c r="A35" s="38"/>
    </row>
    <row r="36" spans="1:6" x14ac:dyDescent="0.3">
      <c r="A36" s="102" t="s">
        <v>123</v>
      </c>
    </row>
    <row r="37" spans="1:6" x14ac:dyDescent="0.3">
      <c r="A37" s="38" t="s">
        <v>124</v>
      </c>
      <c r="B37" s="10">
        <v>3680</v>
      </c>
      <c r="C37" s="10">
        <v>4100</v>
      </c>
      <c r="D37" s="10">
        <v>4920</v>
      </c>
      <c r="E37" s="10">
        <v>5620</v>
      </c>
      <c r="F37" s="10">
        <v>5900</v>
      </c>
    </row>
    <row r="38" spans="1:6" x14ac:dyDescent="0.3">
      <c r="A38" s="38" t="s">
        <v>125</v>
      </c>
      <c r="B38" s="10">
        <v>5420</v>
      </c>
      <c r="C38" s="10">
        <v>7500</v>
      </c>
      <c r="D38" s="10">
        <v>14180</v>
      </c>
      <c r="E38" s="10">
        <v>17780</v>
      </c>
      <c r="F38" s="10">
        <v>19900</v>
      </c>
    </row>
    <row r="39" spans="1:6" x14ac:dyDescent="0.3">
      <c r="A39" s="38" t="s">
        <v>126</v>
      </c>
      <c r="B39" s="10">
        <f>B37+B38</f>
        <v>9100</v>
      </c>
      <c r="C39" s="10">
        <f>C37+C38</f>
        <v>11600</v>
      </c>
      <c r="D39" s="10">
        <f>D37+D38</f>
        <v>19100</v>
      </c>
      <c r="E39" s="10">
        <f>E37+E38</f>
        <v>23400</v>
      </c>
      <c r="F39" s="10">
        <f>F37+F38</f>
        <v>25800</v>
      </c>
    </row>
    <row r="40" spans="1:6" x14ac:dyDescent="0.3">
      <c r="A40" s="38" t="s">
        <v>127</v>
      </c>
      <c r="B40" s="10">
        <v>2500</v>
      </c>
      <c r="C40" s="10">
        <v>4100</v>
      </c>
      <c r="D40" s="10">
        <v>5900</v>
      </c>
      <c r="E40" s="10">
        <v>7500</v>
      </c>
      <c r="F40" s="10">
        <v>8200</v>
      </c>
    </row>
    <row r="41" spans="1:6" x14ac:dyDescent="0.3">
      <c r="A41" s="38" t="s">
        <v>128</v>
      </c>
      <c r="B41" s="7">
        <v>520</v>
      </c>
      <c r="C41" s="7">
        <v>688</v>
      </c>
      <c r="D41" s="10">
        <v>2403</v>
      </c>
      <c r="E41" s="10">
        <v>4708</v>
      </c>
      <c r="F41" s="10">
        <v>7555</v>
      </c>
    </row>
    <row r="42" spans="1:6" x14ac:dyDescent="0.3">
      <c r="A42" s="38" t="s">
        <v>129</v>
      </c>
      <c r="B42" s="10">
        <f>B40+B41</f>
        <v>3020</v>
      </c>
      <c r="C42" s="10">
        <f>C40+C41</f>
        <v>4788</v>
      </c>
      <c r="D42" s="10">
        <f>D40+D41</f>
        <v>8303</v>
      </c>
      <c r="E42" s="10">
        <f>E40+E41</f>
        <v>12208</v>
      </c>
      <c r="F42" s="10">
        <f>F40+F41</f>
        <v>15755</v>
      </c>
    </row>
    <row r="43" spans="1:6" x14ac:dyDescent="0.3">
      <c r="A43" s="38" t="s">
        <v>130</v>
      </c>
      <c r="B43" s="10">
        <f>B39+B42</f>
        <v>12120</v>
      </c>
      <c r="C43" s="10">
        <f>C39+C42</f>
        <v>16388</v>
      </c>
      <c r="D43" s="10">
        <f>D39+D42</f>
        <v>27403</v>
      </c>
      <c r="E43" s="10">
        <f>E39+E42</f>
        <v>35608</v>
      </c>
      <c r="F43" s="10">
        <f>F39+F42</f>
        <v>41555</v>
      </c>
    </row>
    <row r="44" spans="1:6" x14ac:dyDescent="0.3">
      <c r="A44" s="38"/>
    </row>
    <row r="45" spans="1:6" x14ac:dyDescent="0.3">
      <c r="A45" s="38" t="s">
        <v>131</v>
      </c>
    </row>
    <row r="46" spans="1:6" x14ac:dyDescent="0.3">
      <c r="A46" s="38" t="s">
        <v>132</v>
      </c>
      <c r="B46" s="10">
        <v>2122</v>
      </c>
      <c r="C46" s="10">
        <v>2118</v>
      </c>
      <c r="D46" s="10">
        <v>2114</v>
      </c>
      <c r="E46" s="10">
        <v>2072</v>
      </c>
      <c r="F46" s="10">
        <v>2072</v>
      </c>
    </row>
    <row r="47" spans="1:6" x14ac:dyDescent="0.3">
      <c r="A47" s="38" t="s">
        <v>133</v>
      </c>
      <c r="B47" s="10">
        <v>62826</v>
      </c>
      <c r="C47" s="10">
        <v>70997</v>
      </c>
      <c r="D47" s="10">
        <v>70323</v>
      </c>
      <c r="E47" s="10">
        <v>70128</v>
      </c>
      <c r="F47" s="10">
        <v>73745</v>
      </c>
    </row>
    <row r="48" spans="1:6" x14ac:dyDescent="0.3">
      <c r="A48" s="38" t="s">
        <v>134</v>
      </c>
      <c r="B48" s="10">
        <f>B46+B47</f>
        <v>64948</v>
      </c>
      <c r="C48" s="10">
        <f>C46+C47</f>
        <v>73115</v>
      </c>
      <c r="D48" s="10">
        <f>D46+D47</f>
        <v>72437</v>
      </c>
      <c r="E48" s="10">
        <f>E46+E47</f>
        <v>72200</v>
      </c>
      <c r="F48" s="10">
        <f>F46+F47</f>
        <v>75817</v>
      </c>
    </row>
    <row r="49" spans="1:6" x14ac:dyDescent="0.3">
      <c r="A49" s="38" t="s">
        <v>135</v>
      </c>
      <c r="B49" s="10">
        <f>B43+B48</f>
        <v>77068</v>
      </c>
      <c r="C49" s="10">
        <f>C43+C48</f>
        <v>89503</v>
      </c>
      <c r="D49" s="10">
        <f>D43+D48</f>
        <v>99840</v>
      </c>
      <c r="E49" s="10">
        <f>E43+E48</f>
        <v>107808</v>
      </c>
      <c r="F49" s="10">
        <f>F43+F48</f>
        <v>117372</v>
      </c>
    </row>
    <row r="50" spans="1:6" x14ac:dyDescent="0.3">
      <c r="A50" s="38" t="s">
        <v>136</v>
      </c>
      <c r="B50" s="10">
        <f>B34-B43-B48</f>
        <v>0</v>
      </c>
      <c r="C50" s="10">
        <f>C34-C43-C48</f>
        <v>0</v>
      </c>
      <c r="D50" s="10">
        <f>D34-D43-D48</f>
        <v>0</v>
      </c>
      <c r="E50" s="10">
        <f>E34-E43-E48</f>
        <v>0</v>
      </c>
      <c r="F50" s="10">
        <f>F34-F43-F48</f>
        <v>0</v>
      </c>
    </row>
    <row r="52" spans="1:6" ht="15" thickBot="1" x14ac:dyDescent="0.35">
      <c r="A52" s="103" t="s">
        <v>137</v>
      </c>
      <c r="B52" s="8" t="s">
        <v>88</v>
      </c>
      <c r="C52" s="8" t="s">
        <v>89</v>
      </c>
      <c r="D52" s="8" t="s">
        <v>90</v>
      </c>
      <c r="E52" s="8" t="s">
        <v>91</v>
      </c>
      <c r="F52" s="8" t="s">
        <v>92</v>
      </c>
    </row>
    <row r="53" spans="1:6" x14ac:dyDescent="0.3">
      <c r="A53" s="38" t="s">
        <v>138</v>
      </c>
    </row>
    <row r="54" spans="1:6" x14ac:dyDescent="0.3">
      <c r="A54" s="38" t="s">
        <v>108</v>
      </c>
      <c r="B54" s="10">
        <v>16594</v>
      </c>
      <c r="C54" s="10">
        <v>19351</v>
      </c>
      <c r="D54" s="10">
        <v>22110</v>
      </c>
      <c r="E54" s="10">
        <v>24108</v>
      </c>
      <c r="F54" s="10">
        <v>26233</v>
      </c>
    </row>
    <row r="55" spans="1:6" x14ac:dyDescent="0.3">
      <c r="A55" s="38" t="s">
        <v>101</v>
      </c>
      <c r="B55" s="10">
        <v>2871</v>
      </c>
      <c r="C55" s="10">
        <v>3370</v>
      </c>
      <c r="D55" s="10">
        <v>3775</v>
      </c>
      <c r="E55" s="10">
        <v>4213</v>
      </c>
      <c r="F55" s="10">
        <v>4490</v>
      </c>
    </row>
    <row r="56" spans="1:6" x14ac:dyDescent="0.3">
      <c r="A56" s="38" t="s">
        <v>139</v>
      </c>
      <c r="B56" s="7">
        <v>384</v>
      </c>
      <c r="C56" s="7">
        <v>420</v>
      </c>
      <c r="D56" s="7">
        <v>510</v>
      </c>
      <c r="E56" s="7">
        <v>612</v>
      </c>
      <c r="F56" s="7">
        <v>680</v>
      </c>
    </row>
    <row r="57" spans="1:6" x14ac:dyDescent="0.3">
      <c r="A57" s="38" t="s">
        <v>140</v>
      </c>
      <c r="B57" s="10">
        <v>-3428</v>
      </c>
      <c r="C57" s="7">
        <v>-613</v>
      </c>
      <c r="D57" s="10">
        <v>-2501</v>
      </c>
      <c r="E57" s="10">
        <v>-3699</v>
      </c>
      <c r="F57" s="10">
        <v>-4007</v>
      </c>
    </row>
    <row r="58" spans="1:6" x14ac:dyDescent="0.3">
      <c r="A58" s="38" t="s">
        <v>141</v>
      </c>
      <c r="B58" s="10">
        <f>SUM(B54:B57)</f>
        <v>16421</v>
      </c>
      <c r="C58" s="10">
        <f>SUM(C54:C57)</f>
        <v>22528</v>
      </c>
      <c r="D58" s="10">
        <f>SUM(D54:D57)</f>
        <v>23894</v>
      </c>
      <c r="E58" s="10">
        <f>SUM(E54:E57)</f>
        <v>25234</v>
      </c>
      <c r="F58" s="10">
        <f>SUM(F54:F57)</f>
        <v>27396</v>
      </c>
    </row>
    <row r="59" spans="1:6" x14ac:dyDescent="0.3">
      <c r="A59" s="38"/>
    </row>
    <row r="60" spans="1:6" x14ac:dyDescent="0.3">
      <c r="A60" s="38" t="s">
        <v>142</v>
      </c>
    </row>
    <row r="61" spans="1:6" x14ac:dyDescent="0.3">
      <c r="A61" s="38" t="s">
        <v>143</v>
      </c>
      <c r="B61" s="10">
        <v>-3923</v>
      </c>
      <c r="C61" s="10">
        <v>-3029</v>
      </c>
      <c r="D61" s="10">
        <v>-4448</v>
      </c>
      <c r="E61" s="10">
        <v>-4689</v>
      </c>
      <c r="F61" s="10">
        <v>-3835</v>
      </c>
    </row>
    <row r="62" spans="1:6" x14ac:dyDescent="0.3">
      <c r="A62" s="38" t="s">
        <v>144</v>
      </c>
      <c r="B62" s="7">
        <v>-442</v>
      </c>
      <c r="C62" s="10">
        <v>-1250</v>
      </c>
      <c r="D62" s="10">
        <v>-2280</v>
      </c>
      <c r="E62" s="7">
        <v>-630</v>
      </c>
      <c r="F62" s="7">
        <v>-150</v>
      </c>
    </row>
    <row r="63" spans="1:6" x14ac:dyDescent="0.3">
      <c r="A63" s="38" t="s">
        <v>145</v>
      </c>
      <c r="B63" s="10">
        <v>-1658</v>
      </c>
      <c r="C63" s="10">
        <v>-2150</v>
      </c>
      <c r="D63" s="10">
        <v>-2920</v>
      </c>
      <c r="E63" s="10">
        <v>-5370</v>
      </c>
      <c r="F63" s="10">
        <v>-4350</v>
      </c>
    </row>
    <row r="64" spans="1:6" x14ac:dyDescent="0.3">
      <c r="A64" s="38" t="s">
        <v>146</v>
      </c>
      <c r="B64" s="10">
        <f>SUM(B61:B63)</f>
        <v>-6023</v>
      </c>
      <c r="C64" s="10">
        <f>SUM(C61:C63)</f>
        <v>-6429</v>
      </c>
      <c r="D64" s="10">
        <f>SUM(D61:D63)</f>
        <v>-9648</v>
      </c>
      <c r="E64" s="10">
        <f>SUM(E61:E63)</f>
        <v>-10689</v>
      </c>
      <c r="F64" s="10">
        <f>SUM(F61:F63)</f>
        <v>-8335</v>
      </c>
    </row>
    <row r="65" spans="1:6" x14ac:dyDescent="0.3">
      <c r="A65" s="38"/>
    </row>
    <row r="66" spans="1:6" x14ac:dyDescent="0.3">
      <c r="A66" s="38" t="s">
        <v>147</v>
      </c>
    </row>
    <row r="67" spans="1:6" x14ac:dyDescent="0.3">
      <c r="A67" s="38" t="s">
        <v>148</v>
      </c>
      <c r="B67" s="10">
        <v>-8645</v>
      </c>
      <c r="C67" s="10">
        <v>-9284</v>
      </c>
      <c r="D67" s="10">
        <v>-12015</v>
      </c>
      <c r="E67" s="10">
        <v>-13800</v>
      </c>
      <c r="F67" s="10">
        <v>-12640</v>
      </c>
    </row>
    <row r="68" spans="1:6" x14ac:dyDescent="0.3">
      <c r="A68" s="38" t="s">
        <v>149</v>
      </c>
      <c r="B68" s="10">
        <v>-6155</v>
      </c>
      <c r="C68" s="10">
        <v>-2096</v>
      </c>
      <c r="D68" s="10">
        <v>-8100</v>
      </c>
      <c r="E68" s="10">
        <v>-9070</v>
      </c>
      <c r="F68" s="10">
        <v>-4510</v>
      </c>
    </row>
    <row r="69" spans="1:6" x14ac:dyDescent="0.3">
      <c r="A69" s="38" t="s">
        <v>150</v>
      </c>
      <c r="B69" s="10">
        <v>-1200</v>
      </c>
      <c r="C69" s="10">
        <v>-1420</v>
      </c>
      <c r="D69" s="10">
        <v>-1785</v>
      </c>
      <c r="E69" s="10">
        <v>-2230</v>
      </c>
      <c r="F69" s="10">
        <v>-2450</v>
      </c>
    </row>
    <row r="70" spans="1:6" x14ac:dyDescent="0.3">
      <c r="A70" s="38" t="s">
        <v>151</v>
      </c>
      <c r="B70" s="10">
        <f>SUM(B67:B69)</f>
        <v>-16000</v>
      </c>
      <c r="C70" s="10">
        <f>SUM(C67:C69)</f>
        <v>-12800</v>
      </c>
      <c r="D70" s="10">
        <f>SUM(D67:D69)</f>
        <v>-21900</v>
      </c>
      <c r="E70" s="10">
        <f>SUM(E67:E69)</f>
        <v>-25100</v>
      </c>
      <c r="F70" s="10">
        <f>SUM(F67:F69)</f>
        <v>-19600</v>
      </c>
    </row>
    <row r="71" spans="1:6" x14ac:dyDescent="0.3">
      <c r="A71" s="38"/>
    </row>
    <row r="72" spans="1:6" x14ac:dyDescent="0.3">
      <c r="A72" s="38" t="s">
        <v>152</v>
      </c>
      <c r="B72" s="7">
        <v>0</v>
      </c>
      <c r="C72" s="7">
        <v>767</v>
      </c>
      <c r="D72" s="10">
        <v>3143</v>
      </c>
      <c r="E72" s="10">
        <v>5611</v>
      </c>
      <c r="F72" s="10">
        <v>2995</v>
      </c>
    </row>
    <row r="73" spans="1:6" x14ac:dyDescent="0.3">
      <c r="A73" s="38" t="s">
        <v>153</v>
      </c>
      <c r="B73" s="10">
        <f>B58+B64+B70+B72</f>
        <v>-5602</v>
      </c>
      <c r="C73" s="10">
        <f>C58+C64+C70+C72</f>
        <v>4066</v>
      </c>
      <c r="D73" s="10">
        <f>D58+D64+D70+D72</f>
        <v>-4511</v>
      </c>
      <c r="E73" s="10">
        <f>E58+E64+E70+E72</f>
        <v>-4944</v>
      </c>
      <c r="F73" s="10">
        <f>F58+F64+F70+F72</f>
        <v>2456</v>
      </c>
    </row>
    <row r="74" spans="1:6" x14ac:dyDescent="0.3">
      <c r="A74" s="38" t="s">
        <v>154</v>
      </c>
      <c r="B74" s="10">
        <v>23538</v>
      </c>
      <c r="C74" s="10">
        <f>B75</f>
        <v>17936</v>
      </c>
      <c r="D74" s="10">
        <f>C75</f>
        <v>22002</v>
      </c>
      <c r="E74" s="10">
        <f>D75</f>
        <v>17491</v>
      </c>
      <c r="F74" s="10">
        <f>E75</f>
        <v>12547</v>
      </c>
    </row>
    <row r="75" spans="1:6" x14ac:dyDescent="0.3">
      <c r="A75" s="38" t="s">
        <v>155</v>
      </c>
      <c r="B75" s="10">
        <f>B74+B73</f>
        <v>17936</v>
      </c>
      <c r="C75" s="10">
        <f>C74+C73</f>
        <v>22002</v>
      </c>
      <c r="D75" s="10">
        <f>D74+D73</f>
        <v>17491</v>
      </c>
      <c r="E75" s="10">
        <f>E74+E73</f>
        <v>12547</v>
      </c>
      <c r="F75" s="10">
        <f>F74+F73</f>
        <v>15003</v>
      </c>
    </row>
    <row r="76" spans="1:6" x14ac:dyDescent="0.3">
      <c r="A76" s="38"/>
    </row>
    <row r="77" spans="1:6" x14ac:dyDescent="0.3">
      <c r="A77" s="38" t="s">
        <v>156</v>
      </c>
      <c r="B77" s="10">
        <f>B58+B61</f>
        <v>12498</v>
      </c>
      <c r="C77" s="10">
        <f>C58+C61</f>
        <v>19499</v>
      </c>
      <c r="D77" s="10">
        <f>D58+D61</f>
        <v>19446</v>
      </c>
      <c r="E77" s="10">
        <f>E58+E61</f>
        <v>20545</v>
      </c>
      <c r="F77" s="10">
        <f>F58+F61</f>
        <v>23561</v>
      </c>
    </row>
    <row r="78" spans="1:6" x14ac:dyDescent="0.3">
      <c r="A78" s="38" t="s">
        <v>157</v>
      </c>
      <c r="B78" s="39">
        <f>B77/B4</f>
        <v>0.13765681620424933</v>
      </c>
      <c r="C78" s="39">
        <f>C77/C4</f>
        <v>0.19407397085755235</v>
      </c>
      <c r="D78" s="39">
        <f>D77/D4</f>
        <v>0.15986386169137051</v>
      </c>
      <c r="E78" s="39">
        <f>E77/E4</f>
        <v>0.13998378382061363</v>
      </c>
      <c r="F78" s="39">
        <f>F77/F4</f>
        <v>0.15332205375154551</v>
      </c>
    </row>
  </sheetData>
  <phoneticPr fontId="30" type="noConversion"/>
  <pageMargins left="0.7" right="0.7" top="0.75" bottom="0.75" header="0.3" footer="0.3"/>
  <pageSetup scale="93" orientation="landscape" r:id="rId1"/>
  <rowBreaks count="1" manualBreakCount="1">
    <brk id="35"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78EB5-CEB5-4548-B190-1A334B1371A6}">
  <sheetPr>
    <tabColor rgb="FF4472C4"/>
  </sheetPr>
  <dimension ref="A1:G20"/>
  <sheetViews>
    <sheetView showGridLines="0" zoomScale="85" zoomScaleNormal="85" workbookViewId="0">
      <selection activeCell="G4" sqref="G4"/>
    </sheetView>
  </sheetViews>
  <sheetFormatPr defaultColWidth="8.77734375" defaultRowHeight="14.4" x14ac:dyDescent="0.3"/>
  <cols>
    <col min="1" max="1" width="35.88671875" style="7" bestFit="1" customWidth="1"/>
    <col min="2" max="7" width="14.6640625" style="7" customWidth="1"/>
    <col min="8" max="16384" width="8.77734375" style="7"/>
  </cols>
  <sheetData>
    <row r="1" spans="1:7" ht="18" x14ac:dyDescent="0.35">
      <c r="A1" s="6" t="s">
        <v>158</v>
      </c>
    </row>
    <row r="2" spans="1:7" x14ac:dyDescent="0.3">
      <c r="A2" s="7" t="s">
        <v>159</v>
      </c>
    </row>
    <row r="3" spans="1:7" x14ac:dyDescent="0.3">
      <c r="B3" s="8" t="s">
        <v>160</v>
      </c>
      <c r="C3" s="8" t="s">
        <v>16</v>
      </c>
      <c r="D3" s="8" t="s">
        <v>17</v>
      </c>
      <c r="E3" s="8" t="s">
        <v>18</v>
      </c>
      <c r="F3" s="8" t="s">
        <v>19</v>
      </c>
      <c r="G3" s="8" t="s">
        <v>20</v>
      </c>
    </row>
    <row r="4" spans="1:7" x14ac:dyDescent="0.3">
      <c r="A4" s="38" t="s">
        <v>93</v>
      </c>
      <c r="B4" s="10">
        <f>Historical!F4</f>
        <v>153670</v>
      </c>
      <c r="C4" s="85">
        <f>B4*(1+Assumptions!B5)</f>
        <v>159048.44999999998</v>
      </c>
      <c r="D4" s="11">
        <f>C4*(1+Assumptions!B6)</f>
        <v>168591.35699999999</v>
      </c>
      <c r="E4" s="11">
        <f>D4*(1+Assumptions!B7)</f>
        <v>181235.70877499998</v>
      </c>
      <c r="F4" s="11">
        <f>E4*(1+Assumptions!B8)</f>
        <v>193922.20838924998</v>
      </c>
      <c r="G4" s="11">
        <f>F4*(1+Assumptions!B9)</f>
        <v>206527.15193455122</v>
      </c>
    </row>
    <row r="5" spans="1:7" x14ac:dyDescent="0.3">
      <c r="A5" s="38" t="s">
        <v>94</v>
      </c>
      <c r="B5" s="39">
        <f>Historical!F5</f>
        <v>4.7033733741236108E-2</v>
      </c>
      <c r="C5" s="39">
        <f>Assumptions!B5</f>
        <v>3.5000000000000003E-2</v>
      </c>
      <c r="D5" s="39">
        <f>Assumptions!B6</f>
        <v>0.06</v>
      </c>
      <c r="E5" s="39">
        <f>Assumptions!B7</f>
        <v>7.4999999999999997E-2</v>
      </c>
      <c r="F5" s="39">
        <f>Assumptions!B8</f>
        <v>7.0000000000000007E-2</v>
      </c>
      <c r="G5" s="39">
        <f>Assumptions!B9</f>
        <v>6.5000000000000002E-2</v>
      </c>
    </row>
    <row r="6" spans="1:7" x14ac:dyDescent="0.3">
      <c r="A6" s="38" t="s">
        <v>95</v>
      </c>
      <c r="B6" s="10">
        <f>Historical!F6</f>
        <v>-109610</v>
      </c>
      <c r="C6" s="11">
        <f>-C4*(1-Assumptions!B13)</f>
        <v>-112924.39949999998</v>
      </c>
      <c r="D6" s="11">
        <f>-D4*(1-Assumptions!C13)</f>
        <v>-118856.90668500001</v>
      </c>
      <c r="E6" s="11">
        <f>-E4*(1-Assumptions!D13)</f>
        <v>-126864.99614249998</v>
      </c>
      <c r="F6" s="11">
        <f>-F4*(1-Assumptions!E13)</f>
        <v>-135357.70145569649</v>
      </c>
      <c r="G6" s="11">
        <f>-G4*(1-Assumptions!F13)</f>
        <v>-143536.37059451311</v>
      </c>
    </row>
    <row r="7" spans="1:7" x14ac:dyDescent="0.3">
      <c r="A7" s="38" t="s">
        <v>96</v>
      </c>
      <c r="B7" s="10">
        <f t="shared" ref="B7:G7" si="0">B4+B6</f>
        <v>44060</v>
      </c>
      <c r="C7" s="11">
        <f t="shared" si="0"/>
        <v>46124.050499999998</v>
      </c>
      <c r="D7" s="11">
        <f t="shared" si="0"/>
        <v>49734.45031499998</v>
      </c>
      <c r="E7" s="11">
        <f t="shared" si="0"/>
        <v>54370.712632499999</v>
      </c>
      <c r="F7" s="11">
        <f t="shared" si="0"/>
        <v>58564.506933553494</v>
      </c>
      <c r="G7" s="11">
        <f t="shared" si="0"/>
        <v>62990.781340038113</v>
      </c>
    </row>
    <row r="8" spans="1:7" x14ac:dyDescent="0.3">
      <c r="A8" s="38" t="s">
        <v>97</v>
      </c>
      <c r="B8" s="39">
        <f t="shared" ref="B8:G8" si="1">B7/B4</f>
        <v>0.28671829244484937</v>
      </c>
      <c r="C8" s="12">
        <f t="shared" si="1"/>
        <v>0.29000000000000004</v>
      </c>
      <c r="D8" s="12">
        <f t="shared" si="1"/>
        <v>0.29499999999999987</v>
      </c>
      <c r="E8" s="12">
        <f t="shared" si="1"/>
        <v>0.30000000000000004</v>
      </c>
      <c r="F8" s="12">
        <f t="shared" si="1"/>
        <v>0.30199999999999999</v>
      </c>
      <c r="G8" s="12">
        <f t="shared" si="1"/>
        <v>0.30499999999999994</v>
      </c>
    </row>
    <row r="9" spans="1:7" x14ac:dyDescent="0.3">
      <c r="A9" s="38" t="s">
        <v>98</v>
      </c>
      <c r="B9" s="10">
        <f>Historical!F9</f>
        <v>-11545</v>
      </c>
      <c r="C9" s="11">
        <f>-(C7-C4*Assumptions!B14)</f>
        <v>-7157.1802500000049</v>
      </c>
      <c r="D9" s="11">
        <f>-(D7-D4*Assumptions!C14)</f>
        <v>-7249.4283509999805</v>
      </c>
      <c r="E9" s="11">
        <f>-(E7-E4*Assumptions!D14)</f>
        <v>-7611.8997685500071</v>
      </c>
      <c r="F9" s="11">
        <f>-(F7-F4*Assumptions!E14)</f>
        <v>-7756.8883355699945</v>
      </c>
      <c r="G9" s="11">
        <f>-(G7-G4*Assumptions!F14)</f>
        <v>-8261.0860773820386</v>
      </c>
    </row>
    <row r="10" spans="1:7" x14ac:dyDescent="0.3">
      <c r="A10" s="38" t="s">
        <v>99</v>
      </c>
      <c r="B10" s="10">
        <f t="shared" ref="B10:G10" si="2">B7+B9</f>
        <v>32515</v>
      </c>
      <c r="C10" s="11">
        <f t="shared" si="2"/>
        <v>38966.870249999993</v>
      </c>
      <c r="D10" s="11">
        <f t="shared" si="2"/>
        <v>42485.021964</v>
      </c>
      <c r="E10" s="11">
        <f t="shared" si="2"/>
        <v>46758.812863949992</v>
      </c>
      <c r="F10" s="11">
        <f t="shared" si="2"/>
        <v>50807.618597983499</v>
      </c>
      <c r="G10" s="11">
        <f t="shared" si="2"/>
        <v>54729.695262656074</v>
      </c>
    </row>
    <row r="11" spans="1:7" x14ac:dyDescent="0.3">
      <c r="A11" s="38" t="s">
        <v>100</v>
      </c>
      <c r="B11" s="39">
        <f t="shared" ref="B11:G11" si="3">B10/B4</f>
        <v>0.21158977028697859</v>
      </c>
      <c r="C11" s="12">
        <f t="shared" si="3"/>
        <v>0.24499999999999997</v>
      </c>
      <c r="D11" s="12">
        <f t="shared" si="3"/>
        <v>0.252</v>
      </c>
      <c r="E11" s="12">
        <f t="shared" si="3"/>
        <v>0.25800000000000001</v>
      </c>
      <c r="F11" s="12">
        <f t="shared" si="3"/>
        <v>0.26200000000000001</v>
      </c>
      <c r="G11" s="12">
        <f t="shared" si="3"/>
        <v>0.26500000000000001</v>
      </c>
    </row>
    <row r="12" spans="1:7" x14ac:dyDescent="0.3">
      <c r="A12" s="38" t="s">
        <v>101</v>
      </c>
      <c r="B12" s="10">
        <f>Historical!F12</f>
        <v>-4490</v>
      </c>
      <c r="C12" s="11">
        <f>-C4*Assumptions!B26</f>
        <v>-4771.4534999999996</v>
      </c>
      <c r="D12" s="11">
        <f>-D4*Assumptions!C26</f>
        <v>-5057.7407099999991</v>
      </c>
      <c r="E12" s="11">
        <f>-E4*Assumptions!D26</f>
        <v>-5437.071263249999</v>
      </c>
      <c r="F12" s="11">
        <f>-F4*Assumptions!E26</f>
        <v>-5623.7440432882486</v>
      </c>
      <c r="G12" s="11">
        <f>-G4*Assumptions!F26</f>
        <v>-5989.2874061019847</v>
      </c>
    </row>
    <row r="13" spans="1:7" x14ac:dyDescent="0.3">
      <c r="A13" s="38" t="s">
        <v>102</v>
      </c>
      <c r="B13" s="10">
        <f t="shared" ref="B13:G13" si="4">B10+B12</f>
        <v>28025</v>
      </c>
      <c r="C13" s="11">
        <f t="shared" si="4"/>
        <v>34195.416749999989</v>
      </c>
      <c r="D13" s="11">
        <f t="shared" si="4"/>
        <v>37427.281254000001</v>
      </c>
      <c r="E13" s="11">
        <f t="shared" si="4"/>
        <v>41321.741600699992</v>
      </c>
      <c r="F13" s="11">
        <f t="shared" si="4"/>
        <v>45183.874554695249</v>
      </c>
      <c r="G13" s="11">
        <f t="shared" si="4"/>
        <v>48740.407856554091</v>
      </c>
    </row>
    <row r="14" spans="1:7" x14ac:dyDescent="0.3">
      <c r="A14" s="38" t="s">
        <v>103</v>
      </c>
      <c r="B14" s="39">
        <f t="shared" ref="B14:G14" si="5">B13/B4</f>
        <v>0.18237131515585345</v>
      </c>
      <c r="C14" s="12">
        <f t="shared" si="5"/>
        <v>0.21499999999999997</v>
      </c>
      <c r="D14" s="12">
        <f t="shared" si="5"/>
        <v>0.22200000000000003</v>
      </c>
      <c r="E14" s="12">
        <f t="shared" si="5"/>
        <v>0.22799999999999998</v>
      </c>
      <c r="F14" s="12">
        <f t="shared" si="5"/>
        <v>0.23300000000000001</v>
      </c>
      <c r="G14" s="12">
        <f t="shared" si="5"/>
        <v>0.23600000000000002</v>
      </c>
    </row>
    <row r="15" spans="1:7" x14ac:dyDescent="0.3">
      <c r="A15" s="38" t="s">
        <v>104</v>
      </c>
      <c r="B15" s="10">
        <f>Historical!F15</f>
        <v>3450</v>
      </c>
      <c r="C15" s="10">
        <f>Assumptions!B17</f>
        <v>3650</v>
      </c>
      <c r="D15" s="10">
        <f>Assumptions!C17</f>
        <v>3900</v>
      </c>
      <c r="E15" s="10">
        <f>Assumptions!D17</f>
        <v>4150</v>
      </c>
      <c r="F15" s="10">
        <f>Assumptions!E17</f>
        <v>4400</v>
      </c>
      <c r="G15" s="10">
        <f>Assumptions!F17</f>
        <v>4650</v>
      </c>
    </row>
    <row r="16" spans="1:7" x14ac:dyDescent="0.3">
      <c r="A16" s="38" t="s">
        <v>105</v>
      </c>
      <c r="B16" s="10">
        <f t="shared" ref="B16:G16" si="6">B13+B15</f>
        <v>31475</v>
      </c>
      <c r="C16" s="11">
        <f t="shared" si="6"/>
        <v>37845.416749999989</v>
      </c>
      <c r="D16" s="11">
        <f t="shared" si="6"/>
        <v>41327.281254000001</v>
      </c>
      <c r="E16" s="11">
        <f t="shared" si="6"/>
        <v>45471.741600699992</v>
      </c>
      <c r="F16" s="11">
        <f t="shared" si="6"/>
        <v>49583.874554695249</v>
      </c>
      <c r="G16" s="11">
        <f t="shared" si="6"/>
        <v>53390.407856554091</v>
      </c>
    </row>
    <row r="17" spans="1:7" x14ac:dyDescent="0.3">
      <c r="A17" s="38" t="s">
        <v>106</v>
      </c>
      <c r="B17" s="10">
        <f>Historical!F17</f>
        <v>-9732</v>
      </c>
      <c r="C17" s="11">
        <f>-C16*Assumptions!B20</f>
        <v>-9839.8083549999974</v>
      </c>
      <c r="D17" s="11">
        <f>-D16*Assumptions!B20</f>
        <v>-10745.093126040001</v>
      </c>
      <c r="E17" s="11">
        <f>-E16*Assumptions!B20</f>
        <v>-11822.652816181999</v>
      </c>
      <c r="F17" s="11">
        <f>-F16*Assumptions!B20</f>
        <v>-12891.807384220765</v>
      </c>
      <c r="G17" s="11">
        <f>-G16*Assumptions!B20</f>
        <v>-13881.506042704064</v>
      </c>
    </row>
    <row r="18" spans="1:7" x14ac:dyDescent="0.3">
      <c r="A18" s="38" t="s">
        <v>107</v>
      </c>
      <c r="B18" s="39">
        <f>-B17/B16</f>
        <v>0.30919777601270848</v>
      </c>
      <c r="C18" s="86">
        <f>Assumptions!B20</f>
        <v>0.26</v>
      </c>
      <c r="D18" s="86">
        <f>Assumptions!B20</f>
        <v>0.26</v>
      </c>
      <c r="E18" s="39">
        <f>Assumptions!B20</f>
        <v>0.26</v>
      </c>
      <c r="F18" s="39">
        <f>Assumptions!B20</f>
        <v>0.26</v>
      </c>
      <c r="G18" s="39">
        <f>Assumptions!B20</f>
        <v>0.26</v>
      </c>
    </row>
    <row r="19" spans="1:7" x14ac:dyDescent="0.3">
      <c r="A19" s="38" t="s">
        <v>108</v>
      </c>
      <c r="B19" s="10">
        <f t="shared" ref="B19:G19" si="7">B16+B17</f>
        <v>21743</v>
      </c>
      <c r="C19" s="87">
        <f t="shared" si="7"/>
        <v>28005.608394999992</v>
      </c>
      <c r="D19" s="11">
        <f t="shared" si="7"/>
        <v>30582.188127959998</v>
      </c>
      <c r="E19" s="11">
        <f t="shared" si="7"/>
        <v>33649.088784517997</v>
      </c>
      <c r="F19" s="11">
        <f t="shared" si="7"/>
        <v>36692.067170474482</v>
      </c>
      <c r="G19" s="11">
        <f t="shared" si="7"/>
        <v>39508.901813850025</v>
      </c>
    </row>
    <row r="20" spans="1:7" x14ac:dyDescent="0.3">
      <c r="A20" s="38" t="s">
        <v>109</v>
      </c>
      <c r="B20" s="39">
        <f t="shared" ref="B20:G20" si="8">B19/B4</f>
        <v>0.14149150777640399</v>
      </c>
      <c r="C20" s="12">
        <f t="shared" si="8"/>
        <v>0.17608224660472954</v>
      </c>
      <c r="D20" s="12">
        <f t="shared" si="8"/>
        <v>0.18139831526452452</v>
      </c>
      <c r="E20" s="12">
        <f t="shared" si="8"/>
        <v>0.18566478434055497</v>
      </c>
      <c r="F20" s="12">
        <f t="shared" si="8"/>
        <v>0.18921023783322641</v>
      </c>
      <c r="G20" s="12">
        <f t="shared" si="8"/>
        <v>0.19130124752977012</v>
      </c>
    </row>
  </sheetData>
  <pageMargins left="0.7" right="0.7" top="0.75" bottom="0.75" header="0.3" footer="0.3"/>
  <pageSetup scale="9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6BBCA-8FBB-4ECE-8610-B2AB3ADA8CCA}">
  <sheetPr>
    <tabColor rgb="FF4472C4"/>
  </sheetPr>
  <dimension ref="A1:G32"/>
  <sheetViews>
    <sheetView showGridLines="0" topLeftCell="A9" zoomScale="85" zoomScaleNormal="85" workbookViewId="0">
      <selection activeCell="F5" sqref="F5"/>
    </sheetView>
  </sheetViews>
  <sheetFormatPr defaultColWidth="8.77734375" defaultRowHeight="14.4" x14ac:dyDescent="0.3"/>
  <cols>
    <col min="1" max="1" width="31.33203125" style="7" bestFit="1" customWidth="1"/>
    <col min="2" max="7" width="14.6640625" style="7" customWidth="1"/>
    <col min="8" max="16384" width="8.77734375" style="7"/>
  </cols>
  <sheetData>
    <row r="1" spans="1:7" ht="18" x14ac:dyDescent="0.35">
      <c r="A1" s="6" t="s">
        <v>161</v>
      </c>
    </row>
    <row r="2" spans="1:7" x14ac:dyDescent="0.3">
      <c r="A2" s="7" t="s">
        <v>159</v>
      </c>
    </row>
    <row r="3" spans="1:7" x14ac:dyDescent="0.3">
      <c r="B3" s="8" t="s">
        <v>160</v>
      </c>
      <c r="C3" s="8" t="s">
        <v>16</v>
      </c>
      <c r="D3" s="8" t="s">
        <v>17</v>
      </c>
      <c r="E3" s="8" t="s">
        <v>18</v>
      </c>
      <c r="F3" s="8" t="s">
        <v>19</v>
      </c>
      <c r="G3" s="8" t="s">
        <v>20</v>
      </c>
    </row>
    <row r="4" spans="1:7" x14ac:dyDescent="0.3">
      <c r="A4" s="102" t="s">
        <v>111</v>
      </c>
    </row>
    <row r="5" spans="1:7" x14ac:dyDescent="0.3">
      <c r="A5" s="38" t="s">
        <v>112</v>
      </c>
      <c r="B5" s="10">
        <v>15003</v>
      </c>
      <c r="C5" s="10">
        <f>C24+C29-(C6+C7+C8)-C14</f>
        <v>26893.617925010265</v>
      </c>
      <c r="D5" s="10">
        <f>D24+D29-(D6+D7+D8)-D14</f>
        <v>33353.99152555113</v>
      </c>
      <c r="E5" s="10">
        <f>E24+E29-(E6+E7+E8)-E14</f>
        <v>45486.540538258218</v>
      </c>
      <c r="F5" s="10">
        <f>F24+F29-(F6+F7+F8)-F14</f>
        <v>54005.731394439681</v>
      </c>
      <c r="G5" s="10">
        <f>G24+G29-(G6+G7+G8)-G14</f>
        <v>68638.878913689026</v>
      </c>
    </row>
    <row r="6" spans="1:7" x14ac:dyDescent="0.3">
      <c r="A6" s="38" t="s">
        <v>113</v>
      </c>
      <c r="B6" s="10">
        <v>13315</v>
      </c>
      <c r="C6" s="11">
        <f>B6*(1+Assumptions!B56)</f>
        <v>14380.2</v>
      </c>
      <c r="D6" s="11">
        <f>C6*(1+Assumptions!C56)</f>
        <v>15530.616000000002</v>
      </c>
      <c r="E6" s="11">
        <f>D6*(1+Assumptions!D56)</f>
        <v>16773.065280000003</v>
      </c>
      <c r="F6" s="11">
        <f>E6*(1+Assumptions!E56)</f>
        <v>18114.910502400005</v>
      </c>
      <c r="G6" s="11">
        <f>F6*(1+Assumptions!F56)</f>
        <v>19564.103342592007</v>
      </c>
    </row>
    <row r="7" spans="1:7" x14ac:dyDescent="0.3">
      <c r="A7" s="38" t="s">
        <v>114</v>
      </c>
      <c r="B7" s="10">
        <v>28840</v>
      </c>
      <c r="C7" s="11">
        <f>IS_Forecast!C4*Assumptions!B29/365</f>
        <v>29195.194931506845</v>
      </c>
      <c r="D7" s="11">
        <f>IS_Forecast!D4*Assumptions!B29/365</f>
        <v>30946.90662739726</v>
      </c>
      <c r="E7" s="11">
        <f>IS_Forecast!E4*Assumptions!B29/365</f>
        <v>33267.924624452055</v>
      </c>
      <c r="F7" s="11">
        <f>IS_Forecast!F4*Assumptions!B29/365</f>
        <v>35596.679348163692</v>
      </c>
      <c r="G7" s="11">
        <f>IS_Forecast!G4*Assumptions!B29/365</f>
        <v>37910.463505794331</v>
      </c>
    </row>
    <row r="8" spans="1:7" x14ac:dyDescent="0.3">
      <c r="A8" s="38" t="s">
        <v>115</v>
      </c>
      <c r="B8" s="10">
        <v>10500</v>
      </c>
      <c r="C8" s="11">
        <f>IS_Forecast!C4*Assumptions!B31</f>
        <v>10815.294599999999</v>
      </c>
      <c r="D8" s="11">
        <f>IS_Forecast!D4 * Assumptions!B31</f>
        <v>11464.212276</v>
      </c>
      <c r="E8" s="11">
        <f>IS_Forecast!E4 * Assumptions!B31</f>
        <v>12324.028196699999</v>
      </c>
      <c r="F8" s="11">
        <f>IS_Forecast!F4 * Assumptions!B31</f>
        <v>13186.710170468999</v>
      </c>
      <c r="G8" s="11">
        <f>IS_Forecast!G4 * Assumptions!B31</f>
        <v>14043.846331549485</v>
      </c>
    </row>
    <row r="9" spans="1:7" x14ac:dyDescent="0.3">
      <c r="A9" s="38" t="s">
        <v>116</v>
      </c>
      <c r="B9" s="10">
        <v>67658</v>
      </c>
      <c r="C9" s="11">
        <f>SUM(C5:C8)</f>
        <v>81284.307456517112</v>
      </c>
      <c r="D9" s="11">
        <f>SUM(D5:D8)</f>
        <v>91295.726428948401</v>
      </c>
      <c r="E9" s="11">
        <f>SUM(E5:E8)</f>
        <v>107851.55863941027</v>
      </c>
      <c r="F9" s="11">
        <f>SUM(F5:F8)</f>
        <v>120904.03141547237</v>
      </c>
      <c r="G9" s="11">
        <f>SUM(G5:G8)</f>
        <v>140157.29209362486</v>
      </c>
    </row>
    <row r="10" spans="1:7" x14ac:dyDescent="0.3">
      <c r="A10" s="38" t="s">
        <v>117</v>
      </c>
      <c r="B10" s="10">
        <v>14500</v>
      </c>
      <c r="C10" s="11">
        <f>B10-CFS_Forecast!C12+IS_Forecast!C12</f>
        <v>14022.854650000001</v>
      </c>
      <c r="D10" s="11">
        <f>C10-CFS_Forecast!D12+IS_Forecast!D12</f>
        <v>13348.489222000004</v>
      </c>
      <c r="E10" s="11">
        <f>D10-CFS_Forecast!E12+IS_Forecast!E12</f>
        <v>12623.546386900001</v>
      </c>
      <c r="F10" s="11">
        <f>E10-CFS_Forecast!F12+IS_Forecast!F12</f>
        <v>11847.857553343003</v>
      </c>
      <c r="G10" s="11">
        <f>F10-CFS_Forecast!G12+IS_Forecast!G12</f>
        <v>11021.748945604797</v>
      </c>
    </row>
    <row r="11" spans="1:7" x14ac:dyDescent="0.3">
      <c r="A11" s="38" t="s">
        <v>162</v>
      </c>
      <c r="B11" s="10">
        <v>6200</v>
      </c>
      <c r="C11" s="10">
        <f>Assumptions!B57</f>
        <v>6300</v>
      </c>
      <c r="D11" s="10">
        <f>Assumptions!C57</f>
        <v>6400</v>
      </c>
      <c r="E11" s="10">
        <f>Assumptions!D57</f>
        <v>6400</v>
      </c>
      <c r="F11" s="10">
        <f>Assumptions!E57</f>
        <v>6500</v>
      </c>
      <c r="G11" s="10">
        <f>Assumptions!F57</f>
        <v>6500</v>
      </c>
    </row>
    <row r="12" spans="1:7" x14ac:dyDescent="0.3">
      <c r="A12" s="38" t="s">
        <v>119</v>
      </c>
      <c r="B12" s="10">
        <v>6814</v>
      </c>
      <c r="C12" s="10">
        <f>Assumptions!B58</f>
        <v>6500</v>
      </c>
      <c r="D12" s="10">
        <f>Assumptions!C58</f>
        <v>6200</v>
      </c>
      <c r="E12" s="10">
        <f>Assumptions!D58</f>
        <v>5900</v>
      </c>
      <c r="F12" s="10">
        <f>Assumptions!E58</f>
        <v>5650</v>
      </c>
      <c r="G12" s="10">
        <f>Assumptions!F58</f>
        <v>5400</v>
      </c>
    </row>
    <row r="13" spans="1:7" x14ac:dyDescent="0.3">
      <c r="A13" s="38" t="s">
        <v>120</v>
      </c>
      <c r="B13" s="10">
        <v>22200</v>
      </c>
      <c r="C13" s="10">
        <f>Assumptions!B59</f>
        <v>23100</v>
      </c>
      <c r="D13" s="10">
        <f>Assumptions!C59</f>
        <v>24200</v>
      </c>
      <c r="E13" s="10">
        <f>Assumptions!D59</f>
        <v>25400</v>
      </c>
      <c r="F13" s="10">
        <f>Assumptions!E59</f>
        <v>26700</v>
      </c>
      <c r="G13" s="10">
        <f>Assumptions!F59</f>
        <v>28100</v>
      </c>
    </row>
    <row r="14" spans="1:7" x14ac:dyDescent="0.3">
      <c r="A14" s="38" t="s">
        <v>121</v>
      </c>
      <c r="B14" s="10">
        <v>49714</v>
      </c>
      <c r="C14" s="87">
        <f>SUM(C10:C13)</f>
        <v>49922.854650000001</v>
      </c>
      <c r="D14" s="87">
        <f>SUM(D10:D13)</f>
        <v>50148.489222000004</v>
      </c>
      <c r="E14" s="87">
        <f>SUM(E10:E13)</f>
        <v>50323.546386900001</v>
      </c>
      <c r="F14" s="87">
        <f>SUM(F10:F13)</f>
        <v>50697.857553343005</v>
      </c>
      <c r="G14" s="87">
        <f>SUM(G10:G13)</f>
        <v>51021.748945604799</v>
      </c>
    </row>
    <row r="15" spans="1:7" x14ac:dyDescent="0.3">
      <c r="A15" s="38" t="s">
        <v>122</v>
      </c>
      <c r="B15" s="10">
        <v>117372</v>
      </c>
      <c r="C15" s="87">
        <f>C9+C14</f>
        <v>131207.16210651712</v>
      </c>
      <c r="D15" s="87">
        <f>D9+D14</f>
        <v>141444.2156509484</v>
      </c>
      <c r="E15" s="87">
        <f>E9+E14</f>
        <v>158175.10502631028</v>
      </c>
      <c r="F15" s="87">
        <f>F9+F14</f>
        <v>171601.88896881539</v>
      </c>
      <c r="G15" s="87">
        <f>G9+G14</f>
        <v>191179.04103922966</v>
      </c>
    </row>
    <row r="16" spans="1:7" x14ac:dyDescent="0.3">
      <c r="A16" s="38"/>
    </row>
    <row r="17" spans="1:7" x14ac:dyDescent="0.3">
      <c r="A17" s="102" t="s">
        <v>123</v>
      </c>
    </row>
    <row r="18" spans="1:7" x14ac:dyDescent="0.3">
      <c r="A18" s="38" t="s">
        <v>124</v>
      </c>
      <c r="B18" s="10">
        <v>5900</v>
      </c>
      <c r="C18" s="11">
        <f>-IS_Forecast!C6*Assumptions!B30/365</f>
        <v>6187.6383287671224</v>
      </c>
      <c r="D18" s="11">
        <f>-IS_Forecast!D6*Assumptions!B30/365</f>
        <v>6512.7072156164386</v>
      </c>
      <c r="E18" s="11">
        <f>-IS_Forecast!E6*Assumptions!B30/365</f>
        <v>6951.5066379452046</v>
      </c>
      <c r="F18" s="11">
        <f>-IS_Forecast!F6*Assumptions!B30/365</f>
        <v>7416.8603537367935</v>
      </c>
      <c r="G18" s="11">
        <f>-IS_Forecast!G6*Assumptions!B30/365</f>
        <v>7865.0066079185272</v>
      </c>
    </row>
    <row r="19" spans="1:7" x14ac:dyDescent="0.3">
      <c r="A19" s="38" t="s">
        <v>125</v>
      </c>
      <c r="B19" s="10">
        <v>19900</v>
      </c>
      <c r="C19" s="10">
        <f>Assumptions!B60</f>
        <v>20400</v>
      </c>
      <c r="D19" s="10">
        <f>Assumptions!C60</f>
        <v>21100</v>
      </c>
      <c r="E19" s="10">
        <f>Assumptions!D60</f>
        <v>22000</v>
      </c>
      <c r="F19" s="10">
        <f>Assumptions!E60</f>
        <v>23000</v>
      </c>
      <c r="G19" s="10">
        <f>Assumptions!F60</f>
        <v>24100</v>
      </c>
    </row>
    <row r="20" spans="1:7" x14ac:dyDescent="0.3">
      <c r="A20" s="38" t="s">
        <v>126</v>
      </c>
      <c r="B20" s="10">
        <v>25800</v>
      </c>
      <c r="C20" s="87">
        <f>C18+C19</f>
        <v>26587.638328767123</v>
      </c>
      <c r="D20" s="87">
        <f>D18+D19</f>
        <v>27612.707215616439</v>
      </c>
      <c r="E20" s="87">
        <f>E18+E19</f>
        <v>28951.506637945204</v>
      </c>
      <c r="F20" s="87">
        <f>F18+F19</f>
        <v>30416.860353736793</v>
      </c>
      <c r="G20" s="87">
        <f>G18+G19</f>
        <v>31965.006607918527</v>
      </c>
    </row>
    <row r="21" spans="1:7" x14ac:dyDescent="0.3">
      <c r="A21" s="38" t="s">
        <v>127</v>
      </c>
      <c r="B21" s="10">
        <v>8200</v>
      </c>
      <c r="C21" s="10">
        <f>Assumptions!B61</f>
        <v>8400</v>
      </c>
      <c r="D21" s="10">
        <f>Assumptions!C61</f>
        <v>8600</v>
      </c>
      <c r="E21" s="10">
        <f>Assumptions!D61</f>
        <v>8600</v>
      </c>
      <c r="F21" s="10">
        <f>Assumptions!E61</f>
        <v>8800</v>
      </c>
      <c r="G21" s="10">
        <f>Assumptions!F61</f>
        <v>8800</v>
      </c>
    </row>
    <row r="22" spans="1:7" x14ac:dyDescent="0.3">
      <c r="A22" s="38" t="s">
        <v>128</v>
      </c>
      <c r="B22" s="10">
        <v>7555</v>
      </c>
      <c r="C22" s="10">
        <f>Assumptions!B62</f>
        <v>7800</v>
      </c>
      <c r="D22" s="10">
        <f>Assumptions!C62</f>
        <v>8050</v>
      </c>
      <c r="E22" s="10">
        <f>Assumptions!D62</f>
        <v>8300</v>
      </c>
      <c r="F22" s="10">
        <f>Assumptions!E62</f>
        <v>8550</v>
      </c>
      <c r="G22" s="10">
        <f>Assumptions!F62</f>
        <v>8800</v>
      </c>
    </row>
    <row r="23" spans="1:7" x14ac:dyDescent="0.3">
      <c r="A23" s="38" t="s">
        <v>129</v>
      </c>
      <c r="B23" s="10">
        <v>15755</v>
      </c>
      <c r="C23" s="10">
        <f>C21+C22</f>
        <v>16200</v>
      </c>
      <c r="D23" s="10">
        <f>D21+D22</f>
        <v>16650</v>
      </c>
      <c r="E23" s="10">
        <f>E21+E22</f>
        <v>16900</v>
      </c>
      <c r="F23" s="10">
        <f>F21+F22</f>
        <v>17350</v>
      </c>
      <c r="G23" s="10">
        <f>G21+G22</f>
        <v>17600</v>
      </c>
    </row>
    <row r="24" spans="1:7" x14ac:dyDescent="0.3">
      <c r="A24" s="38" t="s">
        <v>130</v>
      </c>
      <c r="B24" s="10">
        <v>41555</v>
      </c>
      <c r="C24" s="87">
        <f>C20+C23</f>
        <v>42787.63832876712</v>
      </c>
      <c r="D24" s="87">
        <f>D20+D23</f>
        <v>44262.707215616436</v>
      </c>
      <c r="E24" s="87">
        <f>E20+E23</f>
        <v>45851.506637945204</v>
      </c>
      <c r="F24" s="87">
        <f>F20+F23</f>
        <v>47766.860353736789</v>
      </c>
      <c r="G24" s="87">
        <f>G20+G23</f>
        <v>49565.006607918527</v>
      </c>
    </row>
    <row r="25" spans="1:7" x14ac:dyDescent="0.3">
      <c r="A25" s="38"/>
    </row>
    <row r="26" spans="1:7" x14ac:dyDescent="0.3">
      <c r="A26" s="102" t="s">
        <v>131</v>
      </c>
    </row>
    <row r="27" spans="1:7" x14ac:dyDescent="0.3">
      <c r="A27" s="38" t="s">
        <v>132</v>
      </c>
      <c r="B27" s="10">
        <v>2072</v>
      </c>
      <c r="C27" s="10">
        <f>Assumptions!B63</f>
        <v>2072</v>
      </c>
      <c r="D27" s="10">
        <f>Assumptions!C63</f>
        <v>2072</v>
      </c>
      <c r="E27" s="10">
        <f>Assumptions!D63</f>
        <v>2072</v>
      </c>
      <c r="F27" s="10">
        <f>Assumptions!E63</f>
        <v>2072</v>
      </c>
      <c r="G27" s="10">
        <f>Assumptions!F63</f>
        <v>2072</v>
      </c>
    </row>
    <row r="28" spans="1:7" x14ac:dyDescent="0.3">
      <c r="A28" s="38" t="s">
        <v>133</v>
      </c>
      <c r="B28" s="10">
        <v>73745</v>
      </c>
      <c r="C28" s="10">
        <f>B28 + IS_Forecast!C19 + CFS_Forecast!C18 + CFS_Forecast!C19</f>
        <v>86347.523777749986</v>
      </c>
      <c r="D28" s="10">
        <f>C28 + IS_Forecast!D19 + CFS_Forecast!D18 + CFS_Forecast!D19</f>
        <v>95109.508435331983</v>
      </c>
      <c r="E28" s="10">
        <f>D28 + IS_Forecast!E19 + CFS_Forecast!E18 + CFS_Forecast!E19</f>
        <v>110251.59838836508</v>
      </c>
      <c r="F28" s="10">
        <f>E28 + IS_Forecast!F19 + CFS_Forecast!F18 + CFS_Forecast!F19</f>
        <v>121763.0286150786</v>
      </c>
      <c r="G28" s="10">
        <f>F28 + IS_Forecast!G19 + CFS_Forecast!G18 + CFS_Forecast!G19</f>
        <v>139542.03443131113</v>
      </c>
    </row>
    <row r="29" spans="1:7" x14ac:dyDescent="0.3">
      <c r="A29" s="38" t="s">
        <v>134</v>
      </c>
      <c r="B29" s="10">
        <v>75817</v>
      </c>
      <c r="C29" s="10">
        <f>C27+C28</f>
        <v>88419.523777749986</v>
      </c>
      <c r="D29" s="10">
        <f>D27+D28</f>
        <v>97181.508435331983</v>
      </c>
      <c r="E29" s="10">
        <f>E27+E28</f>
        <v>112323.59838836508</v>
      </c>
      <c r="F29" s="10">
        <f>F27+F28</f>
        <v>123835.0286150786</v>
      </c>
      <c r="G29" s="10">
        <f>G27+G28</f>
        <v>141614.03443131113</v>
      </c>
    </row>
    <row r="30" spans="1:7" x14ac:dyDescent="0.3">
      <c r="A30" s="38" t="s">
        <v>135</v>
      </c>
      <c r="B30" s="10">
        <v>117372</v>
      </c>
      <c r="C30" s="87">
        <f>C24+C29</f>
        <v>131207.16210651712</v>
      </c>
      <c r="D30" s="87">
        <f>D24+D29</f>
        <v>141444.2156509484</v>
      </c>
      <c r="E30" s="87">
        <f>E24+E29</f>
        <v>158175.10502631028</v>
      </c>
      <c r="F30" s="87">
        <f>F24+F29</f>
        <v>171601.88896881539</v>
      </c>
      <c r="G30" s="87">
        <f>G24+G29</f>
        <v>191179.04103922966</v>
      </c>
    </row>
    <row r="31" spans="1:7" x14ac:dyDescent="0.3">
      <c r="A31" s="38"/>
    </row>
    <row r="32" spans="1:7" x14ac:dyDescent="0.3">
      <c r="A32" s="38" t="s">
        <v>163</v>
      </c>
      <c r="B32" s="7">
        <v>0</v>
      </c>
      <c r="C32" s="43">
        <f>C15-C24-C29</f>
        <v>0</v>
      </c>
      <c r="D32" s="43">
        <f>D15-D24-D29</f>
        <v>0</v>
      </c>
      <c r="E32" s="43">
        <f>E15-E24-E29</f>
        <v>0</v>
      </c>
      <c r="F32" s="43">
        <f>F15-F24-F29</f>
        <v>0</v>
      </c>
      <c r="G32" s="43">
        <f>G15-G24-G29</f>
        <v>0</v>
      </c>
    </row>
  </sheetData>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723D3-2724-47E5-B802-EDA0F4A95C5B}">
  <sheetPr>
    <tabColor rgb="FF4472C4"/>
  </sheetPr>
  <dimension ref="A1:G30"/>
  <sheetViews>
    <sheetView showGridLines="0" zoomScale="85" zoomScaleNormal="85" workbookViewId="0">
      <selection activeCell="F32" sqref="F32"/>
    </sheetView>
  </sheetViews>
  <sheetFormatPr defaultColWidth="8.77734375" defaultRowHeight="14.4" x14ac:dyDescent="0.3"/>
  <cols>
    <col min="1" max="1" width="40.33203125" style="7" bestFit="1" customWidth="1"/>
    <col min="2" max="7" width="14.6640625" style="7" customWidth="1"/>
    <col min="8" max="16384" width="8.77734375" style="7"/>
  </cols>
  <sheetData>
    <row r="1" spans="1:7" ht="18" x14ac:dyDescent="0.35">
      <c r="A1" s="6" t="s">
        <v>164</v>
      </c>
    </row>
    <row r="2" spans="1:7" x14ac:dyDescent="0.3">
      <c r="A2" s="7" t="s">
        <v>159</v>
      </c>
    </row>
    <row r="3" spans="1:7" x14ac:dyDescent="0.3">
      <c r="B3" s="8" t="s">
        <v>160</v>
      </c>
      <c r="C3" s="8" t="s">
        <v>16</v>
      </c>
      <c r="D3" s="8" t="s">
        <v>17</v>
      </c>
      <c r="E3" s="8" t="s">
        <v>18</v>
      </c>
      <c r="F3" s="8" t="s">
        <v>19</v>
      </c>
      <c r="G3" s="8" t="s">
        <v>20</v>
      </c>
    </row>
    <row r="4" spans="1:7" x14ac:dyDescent="0.3">
      <c r="A4" s="102" t="s">
        <v>165</v>
      </c>
    </row>
    <row r="5" spans="1:7" x14ac:dyDescent="0.3">
      <c r="A5" s="38" t="s">
        <v>108</v>
      </c>
      <c r="B5" s="10">
        <v>26233</v>
      </c>
      <c r="C5" s="11">
        <f>IS_Forecast!C19</f>
        <v>28005.608394999992</v>
      </c>
      <c r="D5" s="11">
        <f>IS_Forecast!D19</f>
        <v>30582.188127959998</v>
      </c>
      <c r="E5" s="11">
        <f>IS_Forecast!E19</f>
        <v>33649.088784517997</v>
      </c>
      <c r="F5" s="11">
        <f>IS_Forecast!F19</f>
        <v>36692.067170474482</v>
      </c>
      <c r="G5" s="11">
        <f>IS_Forecast!G19</f>
        <v>39508.901813850025</v>
      </c>
    </row>
    <row r="6" spans="1:7" x14ac:dyDescent="0.3">
      <c r="A6" s="38" t="s">
        <v>166</v>
      </c>
      <c r="B6" s="10">
        <v>4490</v>
      </c>
      <c r="C6" s="11">
        <f>-IS_Forecast!C12</f>
        <v>4771.4534999999996</v>
      </c>
      <c r="D6" s="11">
        <f>-IS_Forecast!D12</f>
        <v>5057.7407099999991</v>
      </c>
      <c r="E6" s="11">
        <f>-IS_Forecast!E12</f>
        <v>5437.071263249999</v>
      </c>
      <c r="F6" s="11">
        <f>-IS_Forecast!F12</f>
        <v>5623.7440432882486</v>
      </c>
      <c r="G6" s="11">
        <f>-IS_Forecast!G12</f>
        <v>5989.2874061019847</v>
      </c>
    </row>
    <row r="7" spans="1:7" x14ac:dyDescent="0.3">
      <c r="A7" s="38" t="s">
        <v>167</v>
      </c>
      <c r="B7" s="7">
        <v>680</v>
      </c>
      <c r="C7" s="7">
        <f>Assumptions!B21</f>
        <v>720</v>
      </c>
      <c r="D7" s="7">
        <f>Assumptions!B21</f>
        <v>720</v>
      </c>
      <c r="E7" s="7">
        <f>Assumptions!B21</f>
        <v>720</v>
      </c>
      <c r="F7" s="7">
        <f>Assumptions!B21</f>
        <v>720</v>
      </c>
      <c r="G7" s="7">
        <f>Assumptions!B21</f>
        <v>720</v>
      </c>
    </row>
    <row r="8" spans="1:7" x14ac:dyDescent="0.3">
      <c r="A8" s="38" t="s">
        <v>168</v>
      </c>
      <c r="B8" s="10">
        <v>-4007</v>
      </c>
      <c r="C8" s="10">
        <f>-((BS_Forecast!C7-BS_Forecast!B7)-(BS_Forecast!C18-BS_Forecast!B18)+(BS_Forecast!C8-BS_Forecast!B8))</f>
        <v>-382.85120273972188</v>
      </c>
      <c r="D8" s="11">
        <f>-((BS_Forecast!D7-BS_Forecast!C7)-(BS_Forecast!D18-BS_Forecast!C18)+(BS_Forecast!D8-BS_Forecast!C8))</f>
        <v>-2075.5604850411</v>
      </c>
      <c r="E8" s="11">
        <f>-((BS_Forecast!E7-BS_Forecast!D7)-(BS_Forecast!E18-BS_Forecast!D18)+(BS_Forecast!E8-BS_Forecast!D8))</f>
        <v>-2742.0344954260272</v>
      </c>
      <c r="F8" s="11">
        <f>-((BS_Forecast!F7-BS_Forecast!E7)-(BS_Forecast!F18-BS_Forecast!E18)+(BS_Forecast!F8-BS_Forecast!E8))</f>
        <v>-2726.0829816890491</v>
      </c>
      <c r="G8" s="11">
        <f>-((BS_Forecast!G7-BS_Forecast!F7)-(BS_Forecast!G18-BS_Forecast!F18)+(BS_Forecast!G8-BS_Forecast!F8))</f>
        <v>-2722.7740645293898</v>
      </c>
    </row>
    <row r="9" spans="1:7" x14ac:dyDescent="0.3">
      <c r="A9" s="38" t="s">
        <v>141</v>
      </c>
      <c r="B9" s="10">
        <v>27396</v>
      </c>
      <c r="C9" s="11">
        <f>SUM(C5:C8)</f>
        <v>33114.210692260269</v>
      </c>
      <c r="D9" s="11">
        <f>SUM(D5:D8)</f>
        <v>34284.3683529189</v>
      </c>
      <c r="E9" s="11">
        <f>SUM(E5:E8)</f>
        <v>37064.125552341968</v>
      </c>
      <c r="F9" s="11">
        <f>SUM(F5:F8)</f>
        <v>40309.728232073685</v>
      </c>
      <c r="G9" s="11">
        <f>SUM(G5:G8)</f>
        <v>43495.415155422619</v>
      </c>
    </row>
    <row r="10" spans="1:7" x14ac:dyDescent="0.3">
      <c r="A10" s="38"/>
    </row>
    <row r="11" spans="1:7" x14ac:dyDescent="0.3">
      <c r="A11" s="102" t="s">
        <v>169</v>
      </c>
    </row>
    <row r="12" spans="1:7" x14ac:dyDescent="0.3">
      <c r="A12" s="38" t="s">
        <v>143</v>
      </c>
      <c r="B12" s="10">
        <v>-3835</v>
      </c>
      <c r="C12" s="11">
        <f>-IS_Forecast!C4*Assumptions!B25</f>
        <v>-4294.3081499999998</v>
      </c>
      <c r="D12" s="11">
        <f>-IS_Forecast!D4*Assumptions!C25</f>
        <v>-4383.3752819999991</v>
      </c>
      <c r="E12" s="11">
        <f>-IS_Forecast!E4*Assumptions!D25</f>
        <v>-4712.1284281499993</v>
      </c>
      <c r="F12" s="11">
        <f>-IS_Forecast!F4*Assumptions!E25</f>
        <v>-4848.0552097312493</v>
      </c>
      <c r="G12" s="11">
        <f>-IS_Forecast!G4*Assumptions!F25</f>
        <v>-5163.1787983637805</v>
      </c>
    </row>
    <row r="13" spans="1:7" x14ac:dyDescent="0.3">
      <c r="A13" s="38" t="s">
        <v>170</v>
      </c>
      <c r="B13" s="10">
        <v>-4350</v>
      </c>
      <c r="C13" s="10">
        <f>-(BS_Forecast!C6-BS_Forecast!B6)</f>
        <v>-1065.2000000000007</v>
      </c>
      <c r="D13" s="11">
        <f>-(BS_Forecast!D6-BS_Forecast!C6)</f>
        <v>-1150.4160000000011</v>
      </c>
      <c r="E13" s="11">
        <f>-(BS_Forecast!E6-BS_Forecast!D6)</f>
        <v>-1242.4492800000007</v>
      </c>
      <c r="F13" s="11">
        <f>-(BS_Forecast!F6-BS_Forecast!E6)</f>
        <v>-1341.845222400003</v>
      </c>
      <c r="G13" s="11">
        <f>-(BS_Forecast!G6-BS_Forecast!F6)</f>
        <v>-1449.1928401920013</v>
      </c>
    </row>
    <row r="14" spans="1:7" x14ac:dyDescent="0.3">
      <c r="A14" s="38" t="s">
        <v>144</v>
      </c>
      <c r="B14" s="7">
        <v>-150</v>
      </c>
      <c r="C14" s="10">
        <f>-Assumptions!B65</f>
        <v>-200</v>
      </c>
      <c r="D14" s="10">
        <f>-Assumptions!C65</f>
        <v>-300</v>
      </c>
      <c r="E14" s="10">
        <f>-Assumptions!D65</f>
        <v>-200</v>
      </c>
      <c r="F14" s="10">
        <f>-Assumptions!E65</f>
        <v>-250</v>
      </c>
      <c r="G14" s="10">
        <f>-Assumptions!F65</f>
        <v>-200</v>
      </c>
    </row>
    <row r="15" spans="1:7" x14ac:dyDescent="0.3">
      <c r="A15" s="38" t="s">
        <v>146</v>
      </c>
      <c r="B15" s="10">
        <v>-8335</v>
      </c>
      <c r="C15" s="87">
        <f>SUM(C12:C14)</f>
        <v>-5559.5081500000006</v>
      </c>
      <c r="D15" s="87">
        <f>SUM(D12:D14)</f>
        <v>-5833.7912820000001</v>
      </c>
      <c r="E15" s="87">
        <f>SUM(E12:E14)</f>
        <v>-6154.57770815</v>
      </c>
      <c r="F15" s="87">
        <f>SUM(F12:F14)</f>
        <v>-6439.9004321312523</v>
      </c>
      <c r="G15" s="87">
        <f>SUM(G12:G14)</f>
        <v>-6812.3716385557818</v>
      </c>
    </row>
    <row r="16" spans="1:7" x14ac:dyDescent="0.3">
      <c r="A16" s="38"/>
    </row>
    <row r="17" spans="1:7" x14ac:dyDescent="0.3">
      <c r="A17" s="102" t="s">
        <v>171</v>
      </c>
    </row>
    <row r="18" spans="1:7" x14ac:dyDescent="0.3">
      <c r="A18" s="38" t="s">
        <v>148</v>
      </c>
      <c r="B18" s="10">
        <v>-12640</v>
      </c>
      <c r="C18" s="11">
        <f>-IS_Forecast!C19*Assumptions!B35</f>
        <v>-15403.084617249997</v>
      </c>
      <c r="D18" s="11">
        <f>-IS_Forecast!D19*Assumptions!B35</f>
        <v>-16820.203470378001</v>
      </c>
      <c r="E18" s="11">
        <f>-IS_Forecast!E19*Assumptions!B35</f>
        <v>-18506.9988314849</v>
      </c>
      <c r="F18" s="11">
        <f>-IS_Forecast!F19*Assumptions!B35</f>
        <v>-20180.636943760968</v>
      </c>
      <c r="G18" s="11">
        <f>-IS_Forecast!G19*Assumptions!B35</f>
        <v>-21729.895997617514</v>
      </c>
    </row>
    <row r="19" spans="1:7" x14ac:dyDescent="0.3">
      <c r="A19" s="38" t="s">
        <v>149</v>
      </c>
      <c r="B19" s="10">
        <v>-4510</v>
      </c>
      <c r="C19" s="10">
        <f>-Assumptions!B36</f>
        <v>0</v>
      </c>
      <c r="D19" s="10">
        <f>-Assumptions!B37</f>
        <v>-5000</v>
      </c>
      <c r="E19" s="10">
        <f>-Assumptions!B38</f>
        <v>0</v>
      </c>
      <c r="F19" s="10">
        <f>-Assumptions!B39</f>
        <v>-5000</v>
      </c>
      <c r="G19" s="7">
        <f>-Assumptions!B40</f>
        <v>0</v>
      </c>
    </row>
    <row r="20" spans="1:7" x14ac:dyDescent="0.3">
      <c r="A20" s="38" t="s">
        <v>150</v>
      </c>
      <c r="B20" s="10">
        <v>-2450</v>
      </c>
      <c r="C20" s="10">
        <f>-Assumptions!B64</f>
        <v>-2542</v>
      </c>
      <c r="D20" s="10">
        <f>-Assumptions!C64</f>
        <v>-2526</v>
      </c>
      <c r="E20" s="10">
        <f>-Assumptions!D64</f>
        <v>-2721</v>
      </c>
      <c r="F20" s="10">
        <f>-Assumptions!E64</f>
        <v>-3546</v>
      </c>
      <c r="G20" s="10">
        <f>-Assumptions!F64</f>
        <v>-2477</v>
      </c>
    </row>
    <row r="21" spans="1:7" x14ac:dyDescent="0.3">
      <c r="A21" s="38" t="s">
        <v>151</v>
      </c>
      <c r="B21" s="10">
        <v>-19600</v>
      </c>
      <c r="C21" s="87">
        <f>SUM(C18:C20)</f>
        <v>-17945.084617249995</v>
      </c>
      <c r="D21" s="87">
        <f>SUM(D18:D20)</f>
        <v>-24346.203470378001</v>
      </c>
      <c r="E21" s="87">
        <f>SUM(E18:E20)</f>
        <v>-21227.9988314849</v>
      </c>
      <c r="F21" s="87">
        <f>SUM(F18:F20)</f>
        <v>-28726.636943760968</v>
      </c>
      <c r="G21" s="87">
        <f>SUM(G18:G20)</f>
        <v>-24206.895997617514</v>
      </c>
    </row>
    <row r="22" spans="1:7" x14ac:dyDescent="0.3">
      <c r="A22" s="38"/>
    </row>
    <row r="23" spans="1:7" x14ac:dyDescent="0.3">
      <c r="A23" s="38" t="s">
        <v>152</v>
      </c>
      <c r="B23" s="10">
        <v>2995</v>
      </c>
      <c r="C23" s="87">
        <f>BS_Forecast!C5-(C25+C9+C15+C21)</f>
        <v>2280.9999999999927</v>
      </c>
      <c r="D23" s="87">
        <f>BS_Forecast!D5-(D25+D9+D15+D21)</f>
        <v>2355.9999999999636</v>
      </c>
      <c r="E23" s="87">
        <f>BS_Forecast!E5-(E25+E9+E15+E21)</f>
        <v>2451.0000000000218</v>
      </c>
      <c r="F23" s="87">
        <f>BS_Forecast!F5-(F25+F9+F15+F21)</f>
        <v>3375.9999999999927</v>
      </c>
      <c r="G23" s="87">
        <f>BS_Forecast!G5-(G25+G9+G15+G21)</f>
        <v>2157.0000000000146</v>
      </c>
    </row>
    <row r="24" spans="1:7" x14ac:dyDescent="0.3">
      <c r="A24" s="38" t="s">
        <v>153</v>
      </c>
      <c r="B24" s="7">
        <v>-539</v>
      </c>
      <c r="C24" s="43">
        <f>C9+C15+C21+C23</f>
        <v>11890.617925010265</v>
      </c>
      <c r="D24" s="43">
        <f>D9+D15+D21+D23</f>
        <v>6460.3736005408646</v>
      </c>
      <c r="E24" s="43">
        <f>E9+E15+E21+E23</f>
        <v>12132.549012707092</v>
      </c>
      <c r="F24" s="43">
        <f>F9+F15+F21+F23</f>
        <v>8519.1908561814562</v>
      </c>
      <c r="G24" s="43">
        <f>G9+G15+G21+G23</f>
        <v>14633.147519249334</v>
      </c>
    </row>
    <row r="25" spans="1:7" x14ac:dyDescent="0.3">
      <c r="A25" s="38" t="s">
        <v>154</v>
      </c>
      <c r="B25" s="10">
        <v>12547</v>
      </c>
      <c r="C25" s="10">
        <f>BS_Forecast!B5</f>
        <v>15003</v>
      </c>
      <c r="D25" s="10">
        <f>C26</f>
        <v>26893.617925010265</v>
      </c>
      <c r="E25" s="10">
        <f>D26</f>
        <v>33353.99152555113</v>
      </c>
      <c r="F25" s="10">
        <f>E26</f>
        <v>45486.540538258225</v>
      </c>
      <c r="G25" s="10">
        <f>F26</f>
        <v>54005.731394439681</v>
      </c>
    </row>
    <row r="26" spans="1:7" x14ac:dyDescent="0.3">
      <c r="A26" s="38" t="s">
        <v>155</v>
      </c>
      <c r="B26" s="10">
        <v>15003</v>
      </c>
      <c r="C26" s="10">
        <f>C25+C24</f>
        <v>26893.617925010265</v>
      </c>
      <c r="D26" s="10">
        <f>D25+D24</f>
        <v>33353.99152555113</v>
      </c>
      <c r="E26" s="10">
        <f>E25+E24</f>
        <v>45486.540538258225</v>
      </c>
      <c r="F26" s="10">
        <f>F25+F24</f>
        <v>54005.731394439681</v>
      </c>
      <c r="G26" s="10">
        <f>G25+G24</f>
        <v>68638.878913689012</v>
      </c>
    </row>
    <row r="27" spans="1:7" x14ac:dyDescent="0.3">
      <c r="A27" s="38"/>
    </row>
    <row r="28" spans="1:7" x14ac:dyDescent="0.3">
      <c r="A28" s="38" t="s">
        <v>172</v>
      </c>
      <c r="B28" s="10">
        <v>23561</v>
      </c>
      <c r="C28" s="87">
        <f>C9+C12</f>
        <v>28819.902542260268</v>
      </c>
      <c r="D28" s="87">
        <f>D9+D12</f>
        <v>29900.993070918899</v>
      </c>
      <c r="E28" s="87">
        <f>E9+E12</f>
        <v>32351.99712419197</v>
      </c>
      <c r="F28" s="87">
        <f>F9+F12</f>
        <v>35461.673022342438</v>
      </c>
      <c r="G28" s="87">
        <f>G9+G12</f>
        <v>38332.236357058835</v>
      </c>
    </row>
    <row r="29" spans="1:7" x14ac:dyDescent="0.3">
      <c r="A29" s="38" t="s">
        <v>157</v>
      </c>
      <c r="B29" s="39">
        <v>0.153</v>
      </c>
      <c r="C29" s="12">
        <f>C28/IS_Forecast!C4</f>
        <v>0.18120203335688131</v>
      </c>
      <c r="D29" s="12">
        <f>D28/IS_Forecast!D4</f>
        <v>0.17735780530504242</v>
      </c>
      <c r="E29" s="12">
        <f>E28/IS_Forecast!E4</f>
        <v>0.1785078522486771</v>
      </c>
      <c r="F29" s="12">
        <f>F28/IS_Forecast!F4</f>
        <v>0.18286545577679306</v>
      </c>
      <c r="G29" s="12">
        <f>G28/IS_Forecast!G4</f>
        <v>0.18560385885341787</v>
      </c>
    </row>
    <row r="30" spans="1:7" x14ac:dyDescent="0.3">
      <c r="A30" s="38" t="s">
        <v>173</v>
      </c>
      <c r="B30" s="39">
        <v>0.89800000000000002</v>
      </c>
      <c r="C30" s="12">
        <f>C28/C5</f>
        <v>1.0290761098911052</v>
      </c>
      <c r="D30" s="12">
        <f>D28/D5</f>
        <v>0.97772575807228423</v>
      </c>
      <c r="E30" s="12">
        <f>E28/E5</f>
        <v>0.96145239864792953</v>
      </c>
      <c r="F30" s="12">
        <f>F28/F5</f>
        <v>0.96646702562666942</v>
      </c>
      <c r="G30" s="12">
        <f>G28/G5</f>
        <v>0.97021771290087577</v>
      </c>
    </row>
  </sheetData>
  <pageMargins left="0.7" right="0.7" top="0.75" bottom="0.75" header="0.3" footer="0.3"/>
  <pageSetup scale="9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5B9A-A36B-452E-B5B9-0FF6137CD0FD}">
  <sheetPr>
    <tabColor rgb="FF548235"/>
  </sheetPr>
  <dimension ref="A1:H101"/>
  <sheetViews>
    <sheetView showGridLines="0" zoomScale="85" zoomScaleNormal="85" workbookViewId="0">
      <selection activeCell="C7" sqref="C7"/>
    </sheetView>
  </sheetViews>
  <sheetFormatPr defaultColWidth="8.77734375" defaultRowHeight="14.4" x14ac:dyDescent="0.3"/>
  <cols>
    <col min="1" max="1" width="38.6640625" style="7" customWidth="1"/>
    <col min="2" max="8" width="13.6640625" style="7" customWidth="1"/>
    <col min="9" max="16384" width="8.77734375" style="7"/>
  </cols>
  <sheetData>
    <row r="1" spans="1:6" ht="18" x14ac:dyDescent="0.35">
      <c r="A1" s="6" t="s">
        <v>174</v>
      </c>
    </row>
    <row r="2" spans="1:6" x14ac:dyDescent="0.3">
      <c r="A2" s="42" t="s">
        <v>175</v>
      </c>
    </row>
    <row r="3" spans="1:6" x14ac:dyDescent="0.3">
      <c r="B3" s="8" t="s">
        <v>16</v>
      </c>
      <c r="C3" s="8" t="s">
        <v>17</v>
      </c>
      <c r="D3" s="8" t="s">
        <v>18</v>
      </c>
      <c r="E3" s="8" t="s">
        <v>19</v>
      </c>
      <c r="F3" s="8" t="s">
        <v>20</v>
      </c>
    </row>
    <row r="5" spans="1:6" ht="15" thickBot="1" x14ac:dyDescent="0.35">
      <c r="A5" s="104" t="s">
        <v>176</v>
      </c>
    </row>
    <row r="6" spans="1:6" x14ac:dyDescent="0.3">
      <c r="A6" s="38" t="s">
        <v>102</v>
      </c>
      <c r="B6" s="11">
        <f>IS_Forecast!C13</f>
        <v>34195.416749999989</v>
      </c>
      <c r="C6" s="11">
        <f>IS_Forecast!D13</f>
        <v>37427.281254000001</v>
      </c>
      <c r="D6" s="11">
        <f>IS_Forecast!E13</f>
        <v>41321.741600699992</v>
      </c>
      <c r="E6" s="11">
        <f>IS_Forecast!F13</f>
        <v>45183.874554695249</v>
      </c>
      <c r="F6" s="11">
        <f>IS_Forecast!G13</f>
        <v>48740.407856554091</v>
      </c>
    </row>
    <row r="7" spans="1:6" x14ac:dyDescent="0.3">
      <c r="A7" s="38" t="s">
        <v>177</v>
      </c>
      <c r="B7" s="39">
        <f>Assumptions!B20</f>
        <v>0.26</v>
      </c>
      <c r="C7" s="39">
        <f>Assumptions!B20</f>
        <v>0.26</v>
      </c>
      <c r="D7" s="88">
        <f>Assumptions!B20</f>
        <v>0.26</v>
      </c>
      <c r="E7" s="88">
        <f>Assumptions!B20</f>
        <v>0.26</v>
      </c>
      <c r="F7" s="88">
        <f>Assumptions!B20</f>
        <v>0.26</v>
      </c>
    </row>
    <row r="8" spans="1:6" x14ac:dyDescent="0.3">
      <c r="A8" s="38" t="s">
        <v>178</v>
      </c>
      <c r="B8" s="11">
        <f>B6*(1-B7)</f>
        <v>25304.608394999992</v>
      </c>
      <c r="C8" s="11">
        <f>C6*(1-C7)</f>
        <v>27696.188127960002</v>
      </c>
      <c r="D8" s="11">
        <f>D6*(1-D7)</f>
        <v>30578.088784517993</v>
      </c>
      <c r="E8" s="11">
        <f>E6*(1-E7)</f>
        <v>33436.067170474482</v>
      </c>
      <c r="F8" s="11">
        <f>F6*(1-F7)</f>
        <v>36067.901813850025</v>
      </c>
    </row>
    <row r="9" spans="1:6" x14ac:dyDescent="0.3">
      <c r="A9" s="38" t="s">
        <v>179</v>
      </c>
      <c r="B9" s="11">
        <f>-IS_Forecast!C12</f>
        <v>4771.4534999999996</v>
      </c>
      <c r="C9" s="11">
        <f>-IS_Forecast!D12</f>
        <v>5057.7407099999991</v>
      </c>
      <c r="D9" s="11">
        <f>-IS_Forecast!E12</f>
        <v>5437.071263249999</v>
      </c>
      <c r="E9" s="11">
        <f>-IS_Forecast!F12</f>
        <v>5623.7440432882486</v>
      </c>
      <c r="F9" s="11">
        <f>-IS_Forecast!G12</f>
        <v>5989.2874061019847</v>
      </c>
    </row>
    <row r="10" spans="1:6" x14ac:dyDescent="0.3">
      <c r="A10" s="38" t="s">
        <v>180</v>
      </c>
      <c r="B10" s="11">
        <f>CFS_Forecast!C12</f>
        <v>-4294.3081499999998</v>
      </c>
      <c r="C10" s="11">
        <f>CFS_Forecast!D12</f>
        <v>-4383.3752819999991</v>
      </c>
      <c r="D10" s="11">
        <f>CFS_Forecast!E12</f>
        <v>-4712.1284281499993</v>
      </c>
      <c r="E10" s="11">
        <f>CFS_Forecast!F12</f>
        <v>-4848.0552097312493</v>
      </c>
      <c r="F10" s="11">
        <f>CFS_Forecast!G12</f>
        <v>-5163.1787983637805</v>
      </c>
    </row>
    <row r="11" spans="1:6" x14ac:dyDescent="0.3">
      <c r="A11" s="38" t="s">
        <v>181</v>
      </c>
      <c r="B11" s="10">
        <f>CFS_Forecast!C8</f>
        <v>-382.85120273972188</v>
      </c>
      <c r="C11" s="10">
        <f>CFS_Forecast!D8</f>
        <v>-2075.5604850411</v>
      </c>
      <c r="D11" s="10">
        <f>CFS_Forecast!E8</f>
        <v>-2742.0344954260272</v>
      </c>
      <c r="E11" s="10">
        <f>CFS_Forecast!F8</f>
        <v>-2726.0829816890491</v>
      </c>
      <c r="F11" s="10">
        <f>CFS_Forecast!G8</f>
        <v>-2722.7740645293898</v>
      </c>
    </row>
    <row r="12" spans="1:6" x14ac:dyDescent="0.3">
      <c r="A12" s="38" t="s">
        <v>182</v>
      </c>
      <c r="B12" s="87">
        <f>SUM(B8:B11)</f>
        <v>25398.902542260268</v>
      </c>
      <c r="C12" s="87">
        <f>SUM(C8:C11)</f>
        <v>26294.993070918903</v>
      </c>
      <c r="D12" s="87">
        <f>SUM(D8:D11)</f>
        <v>28560.997124191963</v>
      </c>
      <c r="E12" s="87">
        <f>SUM(E8:E11)</f>
        <v>31485.673022342438</v>
      </c>
      <c r="F12" s="87">
        <f>SUM(F8:F11)</f>
        <v>34171.236357058842</v>
      </c>
    </row>
    <row r="14" spans="1:6" ht="15" thickBot="1" x14ac:dyDescent="0.35">
      <c r="A14" s="32" t="s">
        <v>183</v>
      </c>
    </row>
    <row r="15" spans="1:6" x14ac:dyDescent="0.3">
      <c r="A15" s="38" t="s">
        <v>61</v>
      </c>
      <c r="B15" s="39">
        <f>Assumptions!B49</f>
        <v>0.12525</v>
      </c>
      <c r="C15" s="39"/>
      <c r="D15" s="39"/>
      <c r="E15" s="39"/>
      <c r="F15" s="39"/>
    </row>
    <row r="16" spans="1:6" x14ac:dyDescent="0.3">
      <c r="A16" s="38" t="s">
        <v>184</v>
      </c>
      <c r="B16" s="89">
        <v>1</v>
      </c>
    </row>
    <row r="17" spans="1:6" x14ac:dyDescent="0.3">
      <c r="A17" s="38" t="s">
        <v>185</v>
      </c>
      <c r="B17" s="7">
        <f>B16*0.5</f>
        <v>0.5</v>
      </c>
    </row>
    <row r="19" spans="1:6" x14ac:dyDescent="0.3">
      <c r="A19" s="38" t="s">
        <v>186</v>
      </c>
      <c r="B19" s="76">
        <f>1-$B$17</f>
        <v>0.5</v>
      </c>
      <c r="C19" s="76">
        <f>2-$B$17</f>
        <v>1.5</v>
      </c>
      <c r="D19" s="76">
        <f>3-$B$17</f>
        <v>2.5</v>
      </c>
      <c r="E19" s="76">
        <f>4-$B$17</f>
        <v>3.5</v>
      </c>
      <c r="F19" s="76">
        <f>5-$B$17</f>
        <v>4.5</v>
      </c>
    </row>
    <row r="20" spans="1:6" x14ac:dyDescent="0.3">
      <c r="A20" s="38" t="s">
        <v>187</v>
      </c>
      <c r="B20" s="90">
        <f>1/((1+$B$15)^B19)</f>
        <v>0.94270430247808157</v>
      </c>
      <c r="C20" s="90">
        <f>1/((1+$B$15)^C19)</f>
        <v>0.83777320815648215</v>
      </c>
      <c r="D20" s="90">
        <f>1/((1+$B$15)^D19)</f>
        <v>0.7445218468397975</v>
      </c>
      <c r="E20" s="90">
        <f>1/((1+$B$15)^E19)</f>
        <v>0.66165016382119302</v>
      </c>
      <c r="F20" s="90">
        <f>1/((1+$B$15)^F19)</f>
        <v>0.58800281166069135</v>
      </c>
    </row>
    <row r="21" spans="1:6" x14ac:dyDescent="0.3">
      <c r="A21" s="38" t="s">
        <v>188</v>
      </c>
      <c r="B21" s="91">
        <f>B12*B20</f>
        <v>23943.65470481024</v>
      </c>
      <c r="C21" s="91">
        <f>C12*C20</f>
        <v>22029.240703476196</v>
      </c>
      <c r="D21" s="91">
        <f>D12*D20</f>
        <v>21264.286326489546</v>
      </c>
      <c r="E21" s="91">
        <f>E12*E20</f>
        <v>20832.50071325339</v>
      </c>
      <c r="F21" s="91">
        <f>F12*F20</f>
        <v>20092.783055872638</v>
      </c>
    </row>
    <row r="22" spans="1:6" x14ac:dyDescent="0.3">
      <c r="A22" s="38" t="s">
        <v>189</v>
      </c>
      <c r="B22" s="87">
        <f>SUM(B21:F21)</f>
        <v>108162.46550390201</v>
      </c>
      <c r="C22" s="87">
        <f>SUM(C21:G21)</f>
        <v>84218.810799091778</v>
      </c>
      <c r="D22" s="87">
        <f>SUM(D21:H21)</f>
        <v>62189.570095615578</v>
      </c>
      <c r="E22" s="87">
        <f>SUM(E21:I21)</f>
        <v>40925.283769126028</v>
      </c>
      <c r="F22" s="87">
        <f>SUM(F21:J21)</f>
        <v>20092.783055872638</v>
      </c>
    </row>
    <row r="24" spans="1:6" ht="15" thickBot="1" x14ac:dyDescent="0.35">
      <c r="A24" s="32" t="s">
        <v>191</v>
      </c>
    </row>
    <row r="25" spans="1:6" x14ac:dyDescent="0.3">
      <c r="A25" s="38" t="s">
        <v>62</v>
      </c>
      <c r="B25" s="88">
        <f>Assumptions!B50</f>
        <v>4.4999999999999998E-2</v>
      </c>
    </row>
    <row r="26" spans="1:6" x14ac:dyDescent="0.3">
      <c r="A26" s="38" t="s">
        <v>190</v>
      </c>
      <c r="B26" s="7">
        <f>Assumptions!B53</f>
        <v>22</v>
      </c>
    </row>
    <row r="27" spans="1:6" x14ac:dyDescent="0.3">
      <c r="A27" s="38" t="s">
        <v>192</v>
      </c>
      <c r="B27" s="11">
        <f>F12*(1+B25)</f>
        <v>35708.941993126486</v>
      </c>
    </row>
    <row r="29" spans="1:6" x14ac:dyDescent="0.3">
      <c r="A29" s="92" t="s">
        <v>193</v>
      </c>
    </row>
    <row r="30" spans="1:6" x14ac:dyDescent="0.3">
      <c r="A30" s="38" t="s">
        <v>194</v>
      </c>
      <c r="B30" s="11">
        <f>B27/(B15-B25)</f>
        <v>444971.23978973815</v>
      </c>
    </row>
    <row r="31" spans="1:6" x14ac:dyDescent="0.3">
      <c r="A31" s="38" t="s">
        <v>195</v>
      </c>
      <c r="B31" s="90">
        <f>1/((1+$B$15)^F19)</f>
        <v>0.58800281166069135</v>
      </c>
    </row>
    <row r="32" spans="1:6" x14ac:dyDescent="0.3">
      <c r="A32" s="38" t="s">
        <v>196</v>
      </c>
      <c r="B32" s="91">
        <f>B30*B31</f>
        <v>261644.34010450973</v>
      </c>
    </row>
    <row r="34" spans="1:2" x14ac:dyDescent="0.3">
      <c r="A34" s="92" t="s">
        <v>197</v>
      </c>
    </row>
    <row r="35" spans="1:2" x14ac:dyDescent="0.3">
      <c r="A35" s="38" t="s">
        <v>198</v>
      </c>
      <c r="B35" s="11">
        <f>IS_Forecast!G10</f>
        <v>54729.695262656074</v>
      </c>
    </row>
    <row r="36" spans="1:2" x14ac:dyDescent="0.3">
      <c r="A36" s="38" t="s">
        <v>199</v>
      </c>
      <c r="B36" s="91">
        <f>B35*B26</f>
        <v>1204053.2957784336</v>
      </c>
    </row>
    <row r="37" spans="1:2" x14ac:dyDescent="0.3">
      <c r="A37" s="38" t="s">
        <v>200</v>
      </c>
      <c r="B37" s="91">
        <f>B36*B31</f>
        <v>707986.72330704099</v>
      </c>
    </row>
    <row r="39" spans="1:2" x14ac:dyDescent="0.3">
      <c r="A39" s="7" t="s">
        <v>201</v>
      </c>
    </row>
    <row r="40" spans="1:2" x14ac:dyDescent="0.3">
      <c r="A40" s="38" t="s">
        <v>202</v>
      </c>
      <c r="B40" s="93">
        <f>B30/B35</f>
        <v>8.1303438225675109</v>
      </c>
    </row>
    <row r="42" spans="1:2" x14ac:dyDescent="0.3">
      <c r="A42" s="38" t="s">
        <v>203</v>
      </c>
      <c r="B42" s="12">
        <f>B32/(B22+B32)</f>
        <v>0.70751629266002425</v>
      </c>
    </row>
    <row r="43" spans="1:2" x14ac:dyDescent="0.3">
      <c r="A43" s="38" t="s">
        <v>204</v>
      </c>
      <c r="B43" s="71">
        <f>B37/(B22+B37)</f>
        <v>0.86747218892481515</v>
      </c>
    </row>
    <row r="45" spans="1:2" ht="15" thickBot="1" x14ac:dyDescent="0.35">
      <c r="A45" s="32" t="s">
        <v>205</v>
      </c>
    </row>
    <row r="46" spans="1:2" x14ac:dyDescent="0.3">
      <c r="A46" s="38" t="s">
        <v>189</v>
      </c>
      <c r="B46" s="87">
        <f>B22</f>
        <v>108162.46550390201</v>
      </c>
    </row>
    <row r="47" spans="1:2" x14ac:dyDescent="0.3">
      <c r="A47" s="38" t="s">
        <v>206</v>
      </c>
      <c r="B47" s="87">
        <f>B32</f>
        <v>261644.34010450973</v>
      </c>
    </row>
    <row r="48" spans="1:2" x14ac:dyDescent="0.3">
      <c r="A48" s="38" t="s">
        <v>207</v>
      </c>
      <c r="B48" s="94">
        <f>B46+B47</f>
        <v>369806.80560841173</v>
      </c>
    </row>
    <row r="49" spans="1:2" x14ac:dyDescent="0.3">
      <c r="A49" s="38" t="s">
        <v>208</v>
      </c>
      <c r="B49" s="95">
        <f>B37</f>
        <v>707986.72330704099</v>
      </c>
    </row>
    <row r="50" spans="1:2" x14ac:dyDescent="0.3">
      <c r="A50" s="38" t="s">
        <v>209</v>
      </c>
      <c r="B50" s="94">
        <f>B46+B49</f>
        <v>816149.18881094304</v>
      </c>
    </row>
    <row r="52" spans="1:2" x14ac:dyDescent="0.3">
      <c r="A52" s="7" t="s">
        <v>210</v>
      </c>
    </row>
    <row r="53" spans="1:2" x14ac:dyDescent="0.3">
      <c r="A53" s="38" t="s">
        <v>211</v>
      </c>
      <c r="B53" s="10">
        <f>BS_Forecast!B5</f>
        <v>15003</v>
      </c>
    </row>
    <row r="54" spans="1:2" x14ac:dyDescent="0.3">
      <c r="A54" s="38" t="s">
        <v>212</v>
      </c>
      <c r="B54" s="73">
        <f>BS_Forecast!B6</f>
        <v>13315</v>
      </c>
    </row>
    <row r="55" spans="1:2" x14ac:dyDescent="0.3">
      <c r="A55" s="38" t="s">
        <v>213</v>
      </c>
      <c r="B55" s="89">
        <v>0</v>
      </c>
    </row>
    <row r="56" spans="1:2" x14ac:dyDescent="0.3">
      <c r="A56" s="38" t="s">
        <v>214</v>
      </c>
      <c r="B56" s="73">
        <f>B53+B54-B55</f>
        <v>28318</v>
      </c>
    </row>
    <row r="58" spans="1:2" x14ac:dyDescent="0.3">
      <c r="A58" s="7" t="s">
        <v>215</v>
      </c>
    </row>
    <row r="59" spans="1:2" x14ac:dyDescent="0.3">
      <c r="A59" s="38" t="s">
        <v>216</v>
      </c>
      <c r="B59" s="95">
        <f>B48+B56</f>
        <v>398124.80560841173</v>
      </c>
    </row>
    <row r="60" spans="1:2" x14ac:dyDescent="0.3">
      <c r="A60" s="38" t="s">
        <v>217</v>
      </c>
      <c r="B60" s="95">
        <f>B50+B56</f>
        <v>844467.18881094304</v>
      </c>
    </row>
    <row r="62" spans="1:2" x14ac:dyDescent="0.3">
      <c r="A62" s="7" t="s">
        <v>218</v>
      </c>
    </row>
    <row r="63" spans="1:2" x14ac:dyDescent="0.3">
      <c r="A63" s="38" t="s">
        <v>63</v>
      </c>
      <c r="B63" s="43">
        <f>Assumptions!B51</f>
        <v>415</v>
      </c>
    </row>
    <row r="64" spans="1:2" x14ac:dyDescent="0.3">
      <c r="A64" s="38" t="s">
        <v>219</v>
      </c>
      <c r="B64" s="96">
        <f>B59/B63</f>
        <v>959.3368809841246</v>
      </c>
    </row>
    <row r="65" spans="1:6" x14ac:dyDescent="0.3">
      <c r="A65" s="38" t="s">
        <v>220</v>
      </c>
      <c r="B65" s="97">
        <f>B60/B63</f>
        <v>2034.8606959299832</v>
      </c>
    </row>
    <row r="67" spans="1:6" x14ac:dyDescent="0.3">
      <c r="A67" s="7" t="s">
        <v>221</v>
      </c>
    </row>
    <row r="68" spans="1:6" x14ac:dyDescent="0.3">
      <c r="A68" s="38" t="s">
        <v>64</v>
      </c>
      <c r="B68" s="73">
        <f>Assumptions!B52</f>
        <v>1600</v>
      </c>
    </row>
    <row r="69" spans="1:6" x14ac:dyDescent="0.3">
      <c r="A69" s="38" t="s">
        <v>222</v>
      </c>
      <c r="B69" s="71">
        <f>B64/B68-1</f>
        <v>-0.4004144493849221</v>
      </c>
    </row>
    <row r="70" spans="1:6" x14ac:dyDescent="0.3">
      <c r="A70" s="38" t="s">
        <v>223</v>
      </c>
      <c r="B70" s="12">
        <f>B65/B68-1</f>
        <v>0.27178793495623954</v>
      </c>
    </row>
    <row r="72" spans="1:6" ht="15" thickBot="1" x14ac:dyDescent="0.35">
      <c r="A72" s="32" t="s">
        <v>224</v>
      </c>
    </row>
    <row r="73" spans="1:6" x14ac:dyDescent="0.3">
      <c r="A73" s="38" t="s">
        <v>225</v>
      </c>
      <c r="B73" s="88">
        <f>B15-0.02</f>
        <v>0.10525</v>
      </c>
      <c r="C73" s="88">
        <f>B15-0.01</f>
        <v>0.11525000000000001</v>
      </c>
      <c r="D73" s="88">
        <f>B15</f>
        <v>0.12525</v>
      </c>
      <c r="E73" s="39">
        <f>B15+0.01</f>
        <v>0.13525000000000001</v>
      </c>
      <c r="F73" s="88">
        <f>B15+0.02</f>
        <v>0.14524999999999999</v>
      </c>
    </row>
    <row r="74" spans="1:6" x14ac:dyDescent="0.3">
      <c r="A74" s="38" t="s">
        <v>226</v>
      </c>
      <c r="B74" s="39">
        <f>B25-0.02</f>
        <v>2.4999999999999998E-2</v>
      </c>
      <c r="C74" s="39">
        <f>B25-0.01</f>
        <v>3.4999999999999996E-2</v>
      </c>
      <c r="D74" s="88">
        <f>B25</f>
        <v>4.4999999999999998E-2</v>
      </c>
      <c r="E74" s="88">
        <f>B25+0.01</f>
        <v>5.5E-2</v>
      </c>
      <c r="F74" s="39">
        <f>B25+0.02</f>
        <v>6.5000000000000002E-2</v>
      </c>
    </row>
    <row r="76" spans="1:6" x14ac:dyDescent="0.3">
      <c r="A76" s="92" t="s">
        <v>227</v>
      </c>
    </row>
    <row r="77" spans="1:6" x14ac:dyDescent="0.3">
      <c r="A77" s="7" t="s">
        <v>228</v>
      </c>
      <c r="B77" s="39">
        <f>B73</f>
        <v>0.10525</v>
      </c>
      <c r="C77" s="39">
        <f>C73</f>
        <v>0.11525000000000001</v>
      </c>
      <c r="D77" s="39">
        <f>D73</f>
        <v>0.12525</v>
      </c>
      <c r="E77" s="39">
        <f>E73</f>
        <v>0.13525000000000001</v>
      </c>
      <c r="F77" s="39">
        <f>F73</f>
        <v>0.14524999999999999</v>
      </c>
    </row>
    <row r="78" spans="1:6" x14ac:dyDescent="0.3">
      <c r="A78" s="97">
        <f>B64</f>
        <v>959.3368809841246</v>
      </c>
      <c r="B78" s="13">
        <v>0.10525</v>
      </c>
      <c r="C78" s="13">
        <v>0.11525000000000001</v>
      </c>
      <c r="D78" s="13">
        <v>0.12525</v>
      </c>
      <c r="E78" s="13">
        <v>0.13525000000000001</v>
      </c>
      <c r="F78" s="13">
        <v>0.14524999999999999</v>
      </c>
    </row>
    <row r="79" spans="1:6" x14ac:dyDescent="0.3">
      <c r="A79" s="74">
        <v>2.5000000000000001E-2</v>
      </c>
      <c r="B79" s="98">
        <f t="dataTable" ref="B79:F83" dt2D="1" dtr="1" r1="B15" r2="B25" ca="1"/>
        <v>1010.8831986494348</v>
      </c>
      <c r="C79" s="98">
        <v>906.99539248019369</v>
      </c>
      <c r="D79" s="98">
        <v>823.89854998733585</v>
      </c>
      <c r="E79" s="98">
        <v>755.93240060135258</v>
      </c>
      <c r="F79" s="98">
        <v>699.31964808787041</v>
      </c>
    </row>
    <row r="80" spans="1:6" x14ac:dyDescent="0.3">
      <c r="A80" s="74">
        <v>3.5000000000000003E-2</v>
      </c>
      <c r="B80" s="98">
        <v>1113.7817814825023</v>
      </c>
      <c r="C80" s="98">
        <v>984.60536547576112</v>
      </c>
      <c r="D80" s="98">
        <v>884.11420684324901</v>
      </c>
      <c r="E80" s="98">
        <v>803.72155315553834</v>
      </c>
      <c r="F80" s="98">
        <v>737.95615549215438</v>
      </c>
    </row>
    <row r="81" spans="1:6" x14ac:dyDescent="0.3">
      <c r="A81" s="74">
        <v>4.4999999999999998E-2</v>
      </c>
      <c r="B81" s="98">
        <v>1250.8375702352607</v>
      </c>
      <c r="C81" s="98">
        <v>1084.310704448714</v>
      </c>
      <c r="D81" s="98">
        <v>959.3368809841246</v>
      </c>
      <c r="E81" s="98">
        <v>862.10109962754905</v>
      </c>
      <c r="F81" s="98">
        <v>784.30069429878938</v>
      </c>
    </row>
    <row r="82" spans="1:6" x14ac:dyDescent="0.3">
      <c r="A82" s="74">
        <v>5.5E-2</v>
      </c>
      <c r="B82" s="98">
        <v>1442.4429266508084</v>
      </c>
      <c r="C82" s="98">
        <v>1217.1132513794942</v>
      </c>
      <c r="D82" s="98">
        <v>1055.9752630654632</v>
      </c>
      <c r="E82" s="98">
        <v>935.03006578105783</v>
      </c>
      <c r="F82" s="98">
        <v>840.91549101271175</v>
      </c>
    </row>
    <row r="83" spans="1:6" x14ac:dyDescent="0.3">
      <c r="A83" s="74">
        <v>6.5000000000000002E-2</v>
      </c>
      <c r="B83" s="98">
        <v>1729.2559135833983</v>
      </c>
      <c r="C83" s="98">
        <v>1402.7725334071015</v>
      </c>
      <c r="D83" s="98">
        <v>1184.692776128159</v>
      </c>
      <c r="E83" s="98">
        <v>1028.7217269248895</v>
      </c>
      <c r="F83" s="98">
        <v>911.63989438430951</v>
      </c>
    </row>
    <row r="85" spans="1:6" x14ac:dyDescent="0.3">
      <c r="B85" s="7">
        <f>B26-4</f>
        <v>18</v>
      </c>
      <c r="C85" s="76">
        <f>B26-2</f>
        <v>20</v>
      </c>
      <c r="D85" s="76">
        <f>B26</f>
        <v>22</v>
      </c>
      <c r="E85" s="76">
        <f>B26+2</f>
        <v>24</v>
      </c>
      <c r="F85" s="76">
        <f>B26+4</f>
        <v>26</v>
      </c>
    </row>
    <row r="86" spans="1:6" x14ac:dyDescent="0.3">
      <c r="A86" s="92" t="s">
        <v>229</v>
      </c>
    </row>
    <row r="87" spans="1:6" x14ac:dyDescent="0.3">
      <c r="A87" s="7" t="s">
        <v>228</v>
      </c>
    </row>
    <row r="88" spans="1:6" x14ac:dyDescent="0.3">
      <c r="A88" s="69">
        <f>B65</f>
        <v>2034.8606959299832</v>
      </c>
      <c r="B88" s="13">
        <v>0.10525</v>
      </c>
      <c r="C88" s="13">
        <v>0.11525000000000001</v>
      </c>
      <c r="D88" s="13">
        <v>0.12525</v>
      </c>
      <c r="E88" s="13">
        <v>0.13525000000000001</v>
      </c>
      <c r="F88" s="13">
        <v>0.14524999999999999</v>
      </c>
    </row>
    <row r="89" spans="1:6" x14ac:dyDescent="0.3">
      <c r="A89" s="7">
        <v>18</v>
      </c>
      <c r="B89" s="69">
        <f t="dataTable" ref="B89:F93" dt2D="1" dtr="1" r1="B15" r2="B26"/>
        <v>1853.6322229147711</v>
      </c>
      <c r="C89" s="69">
        <v>1787.5988586274987</v>
      </c>
      <c r="D89" s="69">
        <v>1724.6803133201079</v>
      </c>
      <c r="E89" s="69">
        <v>1664.7026990729257</v>
      </c>
      <c r="F89" s="69">
        <v>1607.5032761589221</v>
      </c>
    </row>
    <row r="90" spans="1:6" x14ac:dyDescent="0.3">
      <c r="A90" s="7">
        <v>20</v>
      </c>
      <c r="B90" s="69">
        <v>2021.7573295604896</v>
      </c>
      <c r="C90" s="69">
        <v>1949.0458236570082</v>
      </c>
      <c r="D90" s="69">
        <v>1879.7705046250453</v>
      </c>
      <c r="E90" s="69">
        <v>1813.7393666747225</v>
      </c>
      <c r="F90" s="69">
        <v>1750.7727206309107</v>
      </c>
    </row>
    <row r="91" spans="1:6" x14ac:dyDescent="0.3">
      <c r="A91" s="7">
        <v>22</v>
      </c>
      <c r="B91" s="69">
        <v>2189.8824362062078</v>
      </c>
      <c r="C91" s="69">
        <v>2110.4927886865175</v>
      </c>
      <c r="D91" s="69">
        <v>2034.8606959299832</v>
      </c>
      <c r="E91" s="69">
        <v>1962.7760342765193</v>
      </c>
      <c r="F91" s="69">
        <v>1894.0421651028996</v>
      </c>
    </row>
    <row r="92" spans="1:6" x14ac:dyDescent="0.3">
      <c r="A92" s="7">
        <v>24</v>
      </c>
      <c r="B92" s="69">
        <v>2358.0075428519262</v>
      </c>
      <c r="C92" s="69">
        <v>2271.9397537160276</v>
      </c>
      <c r="D92" s="69">
        <v>2189.9508872349211</v>
      </c>
      <c r="E92" s="69">
        <v>2111.8127018783161</v>
      </c>
      <c r="F92" s="69">
        <v>2037.311609574889</v>
      </c>
    </row>
    <row r="93" spans="1:6" x14ac:dyDescent="0.3">
      <c r="A93" s="7">
        <v>26</v>
      </c>
      <c r="B93" s="69">
        <v>2526.1326494976443</v>
      </c>
      <c r="C93" s="69">
        <v>2433.3867187455371</v>
      </c>
      <c r="D93" s="69">
        <v>2345.041078539859</v>
      </c>
      <c r="E93" s="69">
        <v>2260.8493694801127</v>
      </c>
      <c r="F93" s="69">
        <v>2180.5810540468779</v>
      </c>
    </row>
    <row r="96" spans="1:6" ht="15" thickBot="1" x14ac:dyDescent="0.35">
      <c r="A96" s="32" t="s">
        <v>230</v>
      </c>
    </row>
    <row r="97" spans="1:8" x14ac:dyDescent="0.3">
      <c r="A97" s="38" t="s">
        <v>231</v>
      </c>
      <c r="B97" s="38" t="s">
        <v>232</v>
      </c>
      <c r="C97" s="38" t="s">
        <v>233</v>
      </c>
      <c r="E97" s="38" t="s">
        <v>238</v>
      </c>
      <c r="F97" s="38" t="s">
        <v>239</v>
      </c>
      <c r="G97" s="38" t="s">
        <v>240</v>
      </c>
      <c r="H97" s="38" t="s">
        <v>241</v>
      </c>
    </row>
    <row r="98" spans="1:8" x14ac:dyDescent="0.3">
      <c r="A98" s="38" t="s">
        <v>234</v>
      </c>
      <c r="B98" s="69">
        <f>MIN(B79:F83)</f>
        <v>699.31964808787041</v>
      </c>
      <c r="C98" s="69">
        <f>MAX(B79:F83)</f>
        <v>1729.2559135833983</v>
      </c>
      <c r="E98" s="99" t="str">
        <f t="shared" ref="E98:F101" si="0">A98</f>
        <v>DCF - GGM</v>
      </c>
      <c r="F98" s="70">
        <f t="shared" si="0"/>
        <v>699.31964808787041</v>
      </c>
      <c r="G98" s="70">
        <f>C98-B98</f>
        <v>1029.936265495528</v>
      </c>
      <c r="H98" s="10">
        <f>B68</f>
        <v>1600</v>
      </c>
    </row>
    <row r="99" spans="1:8" ht="27.6" x14ac:dyDescent="0.3">
      <c r="A99" s="38" t="s">
        <v>235</v>
      </c>
      <c r="B99" s="69">
        <f>MIN(B89:F93)</f>
        <v>1607.5032761589221</v>
      </c>
      <c r="C99" s="69">
        <f>MAX(B89:F93)</f>
        <v>2526.1326494976443</v>
      </c>
      <c r="E99" s="99" t="str">
        <f t="shared" si="0"/>
        <v>DCG - Exit Multiple</v>
      </c>
      <c r="F99" s="70">
        <f t="shared" si="0"/>
        <v>1607.5032761589221</v>
      </c>
      <c r="G99" s="70">
        <f>C99-B99</f>
        <v>918.62937333872219</v>
      </c>
      <c r="H99" s="10">
        <f>B68</f>
        <v>1600</v>
      </c>
    </row>
    <row r="100" spans="1:8" ht="27.6" x14ac:dyDescent="0.3">
      <c r="A100" s="38" t="s">
        <v>236</v>
      </c>
      <c r="B100" s="100">
        <v>1400</v>
      </c>
      <c r="C100" s="100">
        <v>1900</v>
      </c>
      <c r="E100" s="99" t="str">
        <f t="shared" si="0"/>
        <v>52 - Week Range</v>
      </c>
      <c r="F100" s="70">
        <f t="shared" si="0"/>
        <v>1400</v>
      </c>
      <c r="G100" s="70">
        <f>C100-B100</f>
        <v>500</v>
      </c>
      <c r="H100" s="10">
        <f>B68</f>
        <v>1600</v>
      </c>
    </row>
    <row r="101" spans="1:8" ht="27.6" x14ac:dyDescent="0.3">
      <c r="A101" s="38" t="s">
        <v>237</v>
      </c>
      <c r="B101" s="69">
        <f>B68</f>
        <v>1600</v>
      </c>
      <c r="C101" s="69">
        <f>B68</f>
        <v>1600</v>
      </c>
      <c r="E101" s="99" t="str">
        <f t="shared" si="0"/>
        <v>Current Market Price</v>
      </c>
      <c r="F101" s="70">
        <f t="shared" si="0"/>
        <v>1600</v>
      </c>
      <c r="G101" s="70">
        <f>C101-B101</f>
        <v>0</v>
      </c>
      <c r="H101" s="10">
        <f>B68</f>
        <v>1600</v>
      </c>
    </row>
  </sheetData>
  <conditionalFormatting sqref="A89:F93">
    <cfRule type="cellIs" dxfId="16" priority="4" operator="greaterThan">
      <formula>$B$68*1.15</formula>
    </cfRule>
  </conditionalFormatting>
  <conditionalFormatting sqref="B79:F83">
    <cfRule type="cellIs" dxfId="15" priority="11" operator="between">
      <formula>$B$68*0.85</formula>
      <formula>$B$68*1.15</formula>
    </cfRule>
    <cfRule type="cellIs" dxfId="14" priority="12" operator="lessThan">
      <formula>$B$68*0.85</formula>
    </cfRule>
    <cfRule type="cellIs" dxfId="13" priority="13" operator="greaterThan">
      <formula>$B$68*1.15</formula>
    </cfRule>
  </conditionalFormatting>
  <conditionalFormatting sqref="B89:F93">
    <cfRule type="cellIs" dxfId="12" priority="1" operator="between">
      <formula>$B$68*0.85</formula>
      <formula>$B$68*1.15</formula>
    </cfRule>
    <cfRule type="cellIs" dxfId="11" priority="2" operator="lessThan">
      <formula>$B$68*0.85</formula>
    </cfRule>
  </conditionalFormatting>
  <pageMargins left="0.7" right="0.7" top="0.75" bottom="0.75" header="0.3" footer="0.3"/>
  <pageSetup scale="86" orientation="landscape" r:id="rId1"/>
  <rowBreaks count="2" manualBreakCount="2">
    <brk id="33" max="7" man="1"/>
    <brk id="71"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36DB7-C1D8-4905-B4FB-6258D0C15708}">
  <sheetPr>
    <tabColor rgb="FF7030A0"/>
  </sheetPr>
  <dimension ref="A1:R28"/>
  <sheetViews>
    <sheetView showGridLines="0" topLeftCell="A11" zoomScale="85" zoomScaleNormal="85" workbookViewId="0">
      <selection activeCell="L33" sqref="L33"/>
    </sheetView>
  </sheetViews>
  <sheetFormatPr defaultColWidth="8.77734375" defaultRowHeight="14.4" x14ac:dyDescent="0.3"/>
  <cols>
    <col min="1" max="1" width="30.6640625" style="7" customWidth="1"/>
    <col min="2" max="3" width="12.6640625" style="7" customWidth="1"/>
    <col min="4" max="9" width="15.6640625" style="7" customWidth="1"/>
    <col min="10" max="16" width="11.6640625" style="7" customWidth="1"/>
    <col min="17" max="16384" width="8.77734375" style="7"/>
  </cols>
  <sheetData>
    <row r="1" spans="1:18" ht="18" x14ac:dyDescent="0.35">
      <c r="A1" s="6" t="s">
        <v>283</v>
      </c>
    </row>
    <row r="2" spans="1:18" x14ac:dyDescent="0.3">
      <c r="A2" s="7" t="s">
        <v>284</v>
      </c>
    </row>
    <row r="3" spans="1:18" x14ac:dyDescent="0.3">
      <c r="A3" s="7" t="s">
        <v>285</v>
      </c>
    </row>
    <row r="5" spans="1:18" s="2" customFormat="1" ht="15" thickBot="1" x14ac:dyDescent="0.35">
      <c r="A5" s="26" t="s">
        <v>286</v>
      </c>
      <c r="B5" s="26" t="s">
        <v>287</v>
      </c>
      <c r="C5" s="26" t="s">
        <v>288</v>
      </c>
      <c r="D5" s="26" t="s">
        <v>289</v>
      </c>
      <c r="E5" s="26" t="s">
        <v>252</v>
      </c>
      <c r="F5" s="26" t="s">
        <v>290</v>
      </c>
      <c r="G5" s="26" t="s">
        <v>291</v>
      </c>
      <c r="H5" s="26" t="s">
        <v>292</v>
      </c>
      <c r="I5" s="26" t="s">
        <v>293</v>
      </c>
      <c r="J5" s="26" t="s">
        <v>294</v>
      </c>
      <c r="K5" s="26" t="s">
        <v>295</v>
      </c>
      <c r="L5" s="26" t="s">
        <v>301</v>
      </c>
      <c r="M5" s="26" t="s">
        <v>296</v>
      </c>
      <c r="N5" s="26" t="s">
        <v>297</v>
      </c>
      <c r="O5" s="26" t="s">
        <v>298</v>
      </c>
      <c r="P5" s="26" t="s">
        <v>22</v>
      </c>
    </row>
    <row r="6" spans="1:18" x14ac:dyDescent="0.3">
      <c r="D6" s="9" t="s">
        <v>299</v>
      </c>
      <c r="E6" s="9" t="s">
        <v>299</v>
      </c>
      <c r="F6" s="9" t="s">
        <v>299</v>
      </c>
      <c r="G6" s="9" t="s">
        <v>299</v>
      </c>
      <c r="H6" s="9" t="s">
        <v>299</v>
      </c>
      <c r="I6" s="9" t="s">
        <v>299</v>
      </c>
      <c r="J6" s="9" t="s">
        <v>300</v>
      </c>
      <c r="K6" s="9" t="s">
        <v>300</v>
      </c>
      <c r="L6" s="9" t="s">
        <v>300</v>
      </c>
      <c r="M6" s="9" t="s">
        <v>300</v>
      </c>
      <c r="N6" s="9" t="s">
        <v>302</v>
      </c>
      <c r="O6" s="9" t="s">
        <v>302</v>
      </c>
      <c r="P6" s="9" t="s">
        <v>302</v>
      </c>
    </row>
    <row r="8" spans="1:18" x14ac:dyDescent="0.3">
      <c r="A8" s="16" t="s">
        <v>303</v>
      </c>
      <c r="B8" s="16" t="s">
        <v>304</v>
      </c>
      <c r="C8" s="16" t="s">
        <v>305</v>
      </c>
      <c r="D8" s="17">
        <f>Assumptions!B51*Assumptions!B52</f>
        <v>664000</v>
      </c>
      <c r="E8" s="17">
        <f>D8-(BS_Forecast!B5+BS_Forecast!B6)</f>
        <v>635682</v>
      </c>
      <c r="F8" s="17">
        <f>IS_Forecast!B4</f>
        <v>153670</v>
      </c>
      <c r="G8" s="56">
        <f>IS_Forecast!B10</f>
        <v>32515</v>
      </c>
      <c r="H8" s="17">
        <f>IS_Forecast!B13</f>
        <v>28025</v>
      </c>
      <c r="I8" s="17">
        <f>IS_Forecast!B19</f>
        <v>21743</v>
      </c>
      <c r="J8" s="57">
        <f>E8/F8</f>
        <v>4.1366694865621136</v>
      </c>
      <c r="K8" s="57">
        <f>E8/G8</f>
        <v>19.550422881746886</v>
      </c>
      <c r="L8" s="57">
        <f>E8/H8</f>
        <v>22.682676181980376</v>
      </c>
      <c r="M8" s="58">
        <f>D8/I8</f>
        <v>30.538564135583865</v>
      </c>
      <c r="N8" s="59">
        <f>CFS_Forecast!B28/D8</f>
        <v>3.5483433734939757E-2</v>
      </c>
      <c r="O8" s="60">
        <f>IS_Forecast!B5</f>
        <v>4.7033733741236108E-2</v>
      </c>
      <c r="P8" s="59">
        <f>IS_Forecast!B11</f>
        <v>0.21158977028697859</v>
      </c>
    </row>
    <row r="9" spans="1:18" x14ac:dyDescent="0.3">
      <c r="A9" s="18" t="s">
        <v>306</v>
      </c>
      <c r="B9" s="18" t="s">
        <v>307</v>
      </c>
      <c r="C9" s="18" t="s">
        <v>305</v>
      </c>
      <c r="D9" s="19">
        <v>1385000</v>
      </c>
      <c r="E9" s="19">
        <v>1368000</v>
      </c>
      <c r="F9" s="19">
        <v>240893</v>
      </c>
      <c r="G9" s="19">
        <v>62800</v>
      </c>
      <c r="H9" s="19">
        <v>58200</v>
      </c>
      <c r="I9" s="19">
        <v>46099</v>
      </c>
      <c r="J9" s="61">
        <f>E9/F9</f>
        <v>5.6788698716857695</v>
      </c>
      <c r="K9" s="61">
        <f>E9/G9</f>
        <v>21.783439490445861</v>
      </c>
      <c r="L9" s="61">
        <f>E9/H9</f>
        <v>23.505154639175259</v>
      </c>
      <c r="M9" s="62">
        <f>D9/I9</f>
        <v>30.044035662378793</v>
      </c>
      <c r="N9" s="24">
        <v>2.8000000000000001E-2</v>
      </c>
      <c r="O9" s="24">
        <v>4.7E-2</v>
      </c>
      <c r="P9" s="24">
        <f>G9/F9</f>
        <v>0.26069665785224144</v>
      </c>
    </row>
    <row r="10" spans="1:18" x14ac:dyDescent="0.3">
      <c r="A10" s="18" t="s">
        <v>308</v>
      </c>
      <c r="B10" s="18" t="s">
        <v>309</v>
      </c>
      <c r="C10" s="18" t="s">
        <v>305</v>
      </c>
      <c r="D10" s="19">
        <v>485000</v>
      </c>
      <c r="E10" s="19">
        <v>472000</v>
      </c>
      <c r="F10" s="19">
        <v>109913</v>
      </c>
      <c r="G10" s="19">
        <v>24400</v>
      </c>
      <c r="H10" s="19">
        <v>21800</v>
      </c>
      <c r="I10" s="19">
        <v>15710</v>
      </c>
      <c r="J10" s="61">
        <f t="shared" ref="J10:J13" si="0">E10/F10</f>
        <v>4.2943054961651486</v>
      </c>
      <c r="K10" s="61">
        <f t="shared" ref="K10:K13" si="1">E10/G10</f>
        <v>19.344262295081968</v>
      </c>
      <c r="L10" s="61">
        <f t="shared" ref="L10:L13" si="2">E10/H10</f>
        <v>21.651376146788991</v>
      </c>
      <c r="M10" s="62">
        <f t="shared" ref="M10:M13" si="3">D10/I10</f>
        <v>30.872056015276893</v>
      </c>
      <c r="N10" s="24">
        <v>3.1E-2</v>
      </c>
      <c r="O10" s="24">
        <v>0.55000000000000004</v>
      </c>
      <c r="P10" s="24">
        <f t="shared" ref="P10:P13" si="4">G10/F10</f>
        <v>0.22199375870006277</v>
      </c>
    </row>
    <row r="11" spans="1:18" x14ac:dyDescent="0.3">
      <c r="A11" s="18" t="s">
        <v>310</v>
      </c>
      <c r="B11" s="18" t="s">
        <v>311</v>
      </c>
      <c r="C11" s="18" t="s">
        <v>305</v>
      </c>
      <c r="D11" s="19">
        <v>263000</v>
      </c>
      <c r="E11" s="19">
        <v>256000</v>
      </c>
      <c r="F11" s="19">
        <v>89807</v>
      </c>
      <c r="G11" s="19">
        <v>18200</v>
      </c>
      <c r="H11" s="19">
        <v>15900</v>
      </c>
      <c r="I11" s="19">
        <v>11127</v>
      </c>
      <c r="J11" s="61">
        <f t="shared" si="0"/>
        <v>2.8505573062233456</v>
      </c>
      <c r="K11" s="61">
        <f t="shared" si="1"/>
        <v>14.065934065934066</v>
      </c>
      <c r="L11" s="61">
        <f t="shared" si="2"/>
        <v>16.10062893081761</v>
      </c>
      <c r="M11" s="62">
        <f t="shared" si="3"/>
        <v>23.636200233665857</v>
      </c>
      <c r="N11" s="24">
        <v>3.5000000000000003E-2</v>
      </c>
      <c r="O11" s="24">
        <v>1.4999999999999999E-2</v>
      </c>
      <c r="P11" s="24">
        <f t="shared" si="4"/>
        <v>0.20265680848931597</v>
      </c>
    </row>
    <row r="12" spans="1:18" x14ac:dyDescent="0.3">
      <c r="A12" s="18" t="s">
        <v>312</v>
      </c>
      <c r="B12" s="18" t="s">
        <v>313</v>
      </c>
      <c r="C12" s="18" t="s">
        <v>314</v>
      </c>
      <c r="D12" s="19">
        <v>197</v>
      </c>
      <c r="E12" s="19">
        <v>195</v>
      </c>
      <c r="F12" s="19">
        <v>64.900000000000006</v>
      </c>
      <c r="G12" s="19">
        <v>11.2</v>
      </c>
      <c r="H12" s="19">
        <v>9.8000000000000007</v>
      </c>
      <c r="I12" s="19">
        <v>7.26</v>
      </c>
      <c r="J12" s="61">
        <f t="shared" si="0"/>
        <v>3.0046224961479195</v>
      </c>
      <c r="K12" s="61">
        <f t="shared" si="1"/>
        <v>17.410714285714288</v>
      </c>
      <c r="L12" s="61">
        <f t="shared" si="2"/>
        <v>19.897959183673468</v>
      </c>
      <c r="M12" s="62">
        <f t="shared" si="3"/>
        <v>27.134986225895318</v>
      </c>
      <c r="N12" s="24">
        <v>3.3000000000000002E-2</v>
      </c>
      <c r="O12" s="24">
        <v>4.2000000000000003E-2</v>
      </c>
      <c r="P12" s="24">
        <f t="shared" si="4"/>
        <v>0.17257318952234205</v>
      </c>
      <c r="R12" s="21"/>
    </row>
    <row r="13" spans="1:18" x14ac:dyDescent="0.3">
      <c r="A13" s="27" t="s">
        <v>315</v>
      </c>
      <c r="B13" s="27" t="s">
        <v>316</v>
      </c>
      <c r="C13" s="27" t="s">
        <v>314</v>
      </c>
      <c r="D13" s="28">
        <v>35</v>
      </c>
      <c r="E13" s="28">
        <v>34</v>
      </c>
      <c r="F13" s="28">
        <v>19.7</v>
      </c>
      <c r="G13" s="28">
        <v>3.8</v>
      </c>
      <c r="H13" s="28">
        <v>3.3</v>
      </c>
      <c r="I13" s="28">
        <v>2.1800000000000002</v>
      </c>
      <c r="J13" s="63">
        <f t="shared" si="0"/>
        <v>1.7258883248730965</v>
      </c>
      <c r="K13" s="63">
        <f t="shared" si="1"/>
        <v>8.9473684210526319</v>
      </c>
      <c r="L13" s="63">
        <f t="shared" si="2"/>
        <v>10.303030303030303</v>
      </c>
      <c r="M13" s="64">
        <f t="shared" si="3"/>
        <v>16.055045871559631</v>
      </c>
      <c r="N13" s="29">
        <v>0.04</v>
      </c>
      <c r="O13" s="29">
        <v>0.02</v>
      </c>
      <c r="P13" s="29">
        <f t="shared" si="4"/>
        <v>0.19289340101522842</v>
      </c>
    </row>
    <row r="15" spans="1:18" x14ac:dyDescent="0.3">
      <c r="A15" s="3" t="s">
        <v>317</v>
      </c>
      <c r="B15" s="3"/>
      <c r="C15" s="3"/>
      <c r="D15" s="3"/>
      <c r="E15" s="3"/>
      <c r="F15" s="3"/>
      <c r="G15" s="3"/>
      <c r="H15" s="3"/>
      <c r="I15" s="3"/>
      <c r="J15" s="22">
        <f>AVERAGE(J9:J13)</f>
        <v>3.5108486990190557</v>
      </c>
      <c r="K15" s="22">
        <f t="shared" ref="K15:P15" si="5">AVERAGE(K9:K13)</f>
        <v>16.310343711645764</v>
      </c>
      <c r="L15" s="22">
        <f t="shared" si="5"/>
        <v>18.291629840697123</v>
      </c>
      <c r="M15" s="22">
        <f t="shared" si="5"/>
        <v>25.548464801755298</v>
      </c>
      <c r="N15" s="25">
        <f t="shared" si="5"/>
        <v>3.3399999999999999E-2</v>
      </c>
      <c r="O15" s="25">
        <f t="shared" si="5"/>
        <v>0.13480000000000003</v>
      </c>
      <c r="P15" s="25">
        <f t="shared" si="5"/>
        <v>0.21016276311583812</v>
      </c>
    </row>
    <row r="16" spans="1:18" x14ac:dyDescent="0.3">
      <c r="A16" s="3" t="s">
        <v>318</v>
      </c>
      <c r="B16" s="3"/>
      <c r="C16" s="3"/>
      <c r="D16" s="3"/>
      <c r="E16" s="3"/>
      <c r="F16" s="3"/>
      <c r="G16" s="3"/>
      <c r="H16" s="3"/>
      <c r="I16" s="3"/>
      <c r="J16" s="22">
        <f>MEDIAN(J9:J13)</f>
        <v>3.0046224961479195</v>
      </c>
      <c r="K16" s="22">
        <f t="shared" ref="K16:P16" si="6">MEDIAN(K9:K13)</f>
        <v>17.410714285714288</v>
      </c>
      <c r="L16" s="22">
        <f t="shared" si="6"/>
        <v>19.897959183673468</v>
      </c>
      <c r="M16" s="22">
        <f t="shared" si="6"/>
        <v>27.134986225895318</v>
      </c>
      <c r="N16" s="25">
        <f t="shared" si="6"/>
        <v>3.3000000000000002E-2</v>
      </c>
      <c r="O16" s="25">
        <f t="shared" si="6"/>
        <v>4.2000000000000003E-2</v>
      </c>
      <c r="P16" s="25">
        <f t="shared" si="6"/>
        <v>0.20265680848931597</v>
      </c>
    </row>
    <row r="17" spans="1:16" x14ac:dyDescent="0.3">
      <c r="A17" s="7" t="s">
        <v>319</v>
      </c>
      <c r="J17" s="65">
        <f>QUARTILE(J9:J13,1)</f>
        <v>2.8505573062233456</v>
      </c>
      <c r="K17" s="65">
        <f t="shared" ref="K17:M17" si="7">QUARTILE(K9:K13,1)</f>
        <v>14.065934065934066</v>
      </c>
      <c r="L17" s="65">
        <f t="shared" si="7"/>
        <v>16.10062893081761</v>
      </c>
      <c r="M17" s="65">
        <f t="shared" si="7"/>
        <v>23.636200233665857</v>
      </c>
    </row>
    <row r="18" spans="1:16" x14ac:dyDescent="0.3">
      <c r="A18" s="30" t="s">
        <v>320</v>
      </c>
      <c r="B18" s="30"/>
      <c r="C18" s="30"/>
      <c r="D18" s="30"/>
      <c r="E18" s="30"/>
      <c r="F18" s="30"/>
      <c r="G18" s="30"/>
      <c r="H18" s="30"/>
      <c r="I18" s="30"/>
      <c r="J18" s="31">
        <f>QUARTILE(J9:J13,3)</f>
        <v>4.2943054961651486</v>
      </c>
      <c r="K18" s="31">
        <f t="shared" ref="K18:M18" si="8">QUARTILE(K9:K13,3)</f>
        <v>19.344262295081968</v>
      </c>
      <c r="L18" s="31">
        <f t="shared" si="8"/>
        <v>21.651376146788991</v>
      </c>
      <c r="M18" s="31">
        <f t="shared" si="8"/>
        <v>30.044035662378793</v>
      </c>
      <c r="N18" s="30"/>
      <c r="O18" s="30"/>
      <c r="P18" s="30"/>
    </row>
    <row r="19" spans="1:16" x14ac:dyDescent="0.3">
      <c r="A19" s="7" t="s">
        <v>321</v>
      </c>
    </row>
    <row r="20" spans="1:16" x14ac:dyDescent="0.3">
      <c r="A20" s="20" t="s">
        <v>322</v>
      </c>
      <c r="B20" s="20"/>
      <c r="C20" s="20"/>
      <c r="D20" s="20"/>
      <c r="E20" s="20"/>
      <c r="F20" s="20"/>
      <c r="G20" s="20"/>
      <c r="H20" s="20"/>
      <c r="I20" s="20"/>
      <c r="J20" s="66">
        <f>J8</f>
        <v>4.1366694865621136</v>
      </c>
      <c r="K20" s="66">
        <f t="shared" ref="K20:P20" si="9">K8</f>
        <v>19.550422881746886</v>
      </c>
      <c r="L20" s="66">
        <f t="shared" si="9"/>
        <v>22.682676181980376</v>
      </c>
      <c r="M20" s="66">
        <f t="shared" si="9"/>
        <v>30.538564135583865</v>
      </c>
      <c r="N20" s="67">
        <f t="shared" si="9"/>
        <v>3.5483433734939757E-2</v>
      </c>
      <c r="O20" s="67">
        <f t="shared" si="9"/>
        <v>4.7033733741236108E-2</v>
      </c>
      <c r="P20" s="67">
        <f t="shared" si="9"/>
        <v>0.21158977028697859</v>
      </c>
    </row>
    <row r="21" spans="1:16" x14ac:dyDescent="0.3">
      <c r="A21" s="7" t="s">
        <v>323</v>
      </c>
      <c r="J21" s="23">
        <f>J20/J15-1</f>
        <v>0.17825341995452959</v>
      </c>
      <c r="K21" s="23">
        <f t="shared" ref="K21:M21" si="10">K20/K15-1</f>
        <v>0.19865180203331145</v>
      </c>
      <c r="L21" s="23">
        <f t="shared" si="10"/>
        <v>0.24005768646780701</v>
      </c>
      <c r="M21" s="23">
        <f t="shared" si="10"/>
        <v>0.19531895057294113</v>
      </c>
    </row>
    <row r="22" spans="1:16" x14ac:dyDescent="0.3">
      <c r="J22" s="23">
        <f>J20/J16-1</f>
        <v>0.37676845988657037</v>
      </c>
      <c r="K22" s="23">
        <f t="shared" ref="K22:M22" si="11">K20/K16-1</f>
        <v>0.12289608346443637</v>
      </c>
      <c r="L22" s="23">
        <f t="shared" si="11"/>
        <v>0.13994987991491126</v>
      </c>
      <c r="M22" s="23">
        <f t="shared" si="11"/>
        <v>0.12543134834689762</v>
      </c>
    </row>
    <row r="24" spans="1:16" x14ac:dyDescent="0.3">
      <c r="A24" s="7" t="s">
        <v>324</v>
      </c>
    </row>
    <row r="25" spans="1:16" x14ac:dyDescent="0.3">
      <c r="A25" s="7" t="s">
        <v>276</v>
      </c>
      <c r="B25" s="7" t="s">
        <v>325</v>
      </c>
      <c r="C25" s="7" t="s">
        <v>326</v>
      </c>
      <c r="D25" s="7" t="s">
        <v>327</v>
      </c>
      <c r="E25" s="7" t="s">
        <v>328</v>
      </c>
      <c r="F25" s="7" t="s">
        <v>329</v>
      </c>
      <c r="G25" s="7" t="s">
        <v>330</v>
      </c>
    </row>
    <row r="26" spans="1:16" x14ac:dyDescent="0.3">
      <c r="A26" s="7" t="s">
        <v>331</v>
      </c>
      <c r="B26" s="14">
        <f>K15</f>
        <v>16.310343711645764</v>
      </c>
      <c r="C26" s="14">
        <f>K16</f>
        <v>17.410714285714288</v>
      </c>
      <c r="D26" s="15">
        <f>C26*G8</f>
        <v>566109.37500000012</v>
      </c>
      <c r="E26" s="15">
        <f>D26+BS_Forecast!B5+BS_Forecast!B6</f>
        <v>594427.37500000012</v>
      </c>
      <c r="F26" s="15">
        <f>E26/Assumptions!B51</f>
        <v>1432.355120481928</v>
      </c>
      <c r="G26" s="12">
        <f>F26/Assumptions!B52-1</f>
        <v>-0.10477804969879501</v>
      </c>
    </row>
    <row r="27" spans="1:16" x14ac:dyDescent="0.3">
      <c r="A27" s="7" t="s">
        <v>301</v>
      </c>
      <c r="B27" s="14">
        <f>L15</f>
        <v>18.291629840697123</v>
      </c>
      <c r="C27" s="14">
        <f>L16</f>
        <v>19.897959183673468</v>
      </c>
      <c r="D27" s="15">
        <f>C27*H8</f>
        <v>557640.30612244888</v>
      </c>
      <c r="E27" s="15">
        <f>D27+BS_Forecast!B5+BS_Forecast!B6</f>
        <v>585958.30612244888</v>
      </c>
      <c r="F27" s="15">
        <f>E27/Assumptions!B51</f>
        <v>1411.9477255962624</v>
      </c>
      <c r="G27" s="12">
        <f>F27/Assumptions!B52-1</f>
        <v>-0.11753267150233593</v>
      </c>
    </row>
    <row r="28" spans="1:16" x14ac:dyDescent="0.3">
      <c r="A28" s="7" t="s">
        <v>296</v>
      </c>
      <c r="B28" s="14">
        <f>M15</f>
        <v>25.548464801755298</v>
      </c>
      <c r="C28" s="14">
        <f>M16</f>
        <v>27.134986225895318</v>
      </c>
      <c r="E28" s="15">
        <f>C28*I8</f>
        <v>589996.00550964195</v>
      </c>
      <c r="F28" s="15">
        <f>E28/Assumptions!B51</f>
        <v>1421.6771217099806</v>
      </c>
      <c r="G28" s="12">
        <f>F28/Assumptions!B52-1</f>
        <v>-0.11145179893126211</v>
      </c>
    </row>
  </sheetData>
  <pageMargins left="0.7" right="0.7" top="0.75" bottom="0.75" header="0.3" footer="0.3"/>
  <pageSetup scale="3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ED5D-3178-438E-BDFC-C4591459AFBF}">
  <sheetPr>
    <tabColor rgb="FF7030A0"/>
  </sheetPr>
  <dimension ref="A1:H52"/>
  <sheetViews>
    <sheetView showGridLines="0" topLeftCell="B10" zoomScale="85" zoomScaleNormal="85" workbookViewId="0">
      <selection activeCell="I25" sqref="I25"/>
    </sheetView>
  </sheetViews>
  <sheetFormatPr defaultColWidth="8.77734375" defaultRowHeight="14.4" x14ac:dyDescent="0.3"/>
  <cols>
    <col min="1" max="1" width="51" style="7" bestFit="1" customWidth="1"/>
    <col min="2" max="4" width="15.109375" style="7" bestFit="1" customWidth="1"/>
    <col min="5" max="5" width="30.21875" style="7" bestFit="1" customWidth="1"/>
    <col min="6" max="7" width="15.109375" style="7" bestFit="1" customWidth="1"/>
    <col min="8" max="8" width="33.77734375" style="7" bestFit="1" customWidth="1"/>
    <col min="9" max="16384" width="8.77734375" style="7"/>
  </cols>
  <sheetData>
    <row r="1" spans="1:8" ht="18" x14ac:dyDescent="0.35">
      <c r="A1" s="6" t="s">
        <v>332</v>
      </c>
    </row>
    <row r="2" spans="1:8" x14ac:dyDescent="0.3">
      <c r="A2" s="42" t="s">
        <v>333</v>
      </c>
    </row>
    <row r="4" spans="1:8" x14ac:dyDescent="0.3">
      <c r="B4" s="8" t="s">
        <v>160</v>
      </c>
      <c r="C4" s="8" t="s">
        <v>16</v>
      </c>
      <c r="D4" s="8" t="s">
        <v>17</v>
      </c>
      <c r="E4" s="8" t="s">
        <v>18</v>
      </c>
      <c r="F4" s="8" t="s">
        <v>19</v>
      </c>
      <c r="G4" s="8" t="s">
        <v>20</v>
      </c>
    </row>
    <row r="6" spans="1:8" ht="15" thickBot="1" x14ac:dyDescent="0.35">
      <c r="A6" s="32" t="s">
        <v>334</v>
      </c>
    </row>
    <row r="7" spans="1:8" x14ac:dyDescent="0.3">
      <c r="A7" s="7" t="s">
        <v>335</v>
      </c>
      <c r="B7" s="23">
        <f>BS_Forecast!B9/BS_Forecast!B20</f>
        <v>2.6224031007751938</v>
      </c>
      <c r="C7" s="23">
        <f>BS_Forecast!C9/BS_Forecast!C20</f>
        <v>3.0572217980176761</v>
      </c>
      <c r="D7" s="23">
        <f>BS_Forecast!D9/BS_Forecast!D20</f>
        <v>3.3062939361960084</v>
      </c>
      <c r="E7" s="68">
        <f>BS_Forecast!E9/BS_Forecast!E20</f>
        <v>3.7252485678259988</v>
      </c>
      <c r="F7" s="68">
        <f>BS_Forecast!F9/BS_Forecast!F20</f>
        <v>3.9749017488788581</v>
      </c>
      <c r="G7" s="68">
        <f>BS_Forecast!G9/BS_Forecast!G20</f>
        <v>4.3847102493294781</v>
      </c>
    </row>
    <row r="8" spans="1:8" x14ac:dyDescent="0.3">
      <c r="A8" s="7" t="s">
        <v>336</v>
      </c>
      <c r="B8" s="68">
        <f>(BS_Forecast!B9)/BS_Forecast!B20</f>
        <v>2.6224031007751938</v>
      </c>
      <c r="C8" s="68">
        <f>(BS_Forecast!C9)/BS_Forecast!C20</f>
        <v>3.0572217980176761</v>
      </c>
      <c r="D8" s="68">
        <f>(BS_Forecast!D9)/BS_Forecast!D20</f>
        <v>3.3062939361960084</v>
      </c>
      <c r="E8" s="68">
        <f>(BS_Forecast!E9)/BS_Forecast!E20</f>
        <v>3.7252485678259988</v>
      </c>
      <c r="F8" s="68">
        <f>(BS_Forecast!F9)/BS_Forecast!F20</f>
        <v>3.9749017488788581</v>
      </c>
      <c r="G8" s="68">
        <f>(BS_Forecast!G9)/BS_Forecast!G20</f>
        <v>4.3847102493294781</v>
      </c>
      <c r="H8" s="7" t="s">
        <v>341</v>
      </c>
    </row>
    <row r="9" spans="1:8" x14ac:dyDescent="0.3">
      <c r="A9" s="7" t="s">
        <v>337</v>
      </c>
      <c r="B9" s="69">
        <f>BS_Forecast!B5+BS_Forecast!B6</f>
        <v>28318</v>
      </c>
      <c r="C9" s="70">
        <f>BS_Forecast!C5+BS_Forecast!C6</f>
        <v>41273.817925010269</v>
      </c>
      <c r="D9" s="70">
        <f>BS_Forecast!D5+BS_Forecast!D6</f>
        <v>48884.607525551131</v>
      </c>
      <c r="E9" s="70">
        <f>BS_Forecast!E5+BS_Forecast!E6</f>
        <v>62259.60581825822</v>
      </c>
      <c r="F9" s="69">
        <f>BS_Forecast!F5+BS_Forecast!F6</f>
        <v>72120.64189683969</v>
      </c>
      <c r="G9" s="70">
        <f>BS_Forecast!G5+BS_Forecast!G6</f>
        <v>88202.98225628103</v>
      </c>
    </row>
    <row r="10" spans="1:8" x14ac:dyDescent="0.3">
      <c r="A10" s="7" t="s">
        <v>338</v>
      </c>
      <c r="B10" s="68">
        <f>B9/IS_Forecast!B10</f>
        <v>0.87092111333230815</v>
      </c>
      <c r="C10" s="68">
        <f>C9/IS_Forecast!C10</f>
        <v>1.0592027961242352</v>
      </c>
      <c r="D10" s="23">
        <f>D9/IS_Forecast!D10</f>
        <v>1.1506315700383507</v>
      </c>
      <c r="E10" s="23">
        <f>E9/IS_Forecast!E10</f>
        <v>1.3315052715176821</v>
      </c>
      <c r="F10" s="68">
        <f>F9/IS_Forecast!F10</f>
        <v>1.4194847915919067</v>
      </c>
      <c r="G10" s="68">
        <f>G9/IS_Forecast!G10</f>
        <v>1.6116110611064358</v>
      </c>
    </row>
    <row r="11" spans="1:8" x14ac:dyDescent="0.3">
      <c r="A11" s="7" t="s">
        <v>339</v>
      </c>
      <c r="B11" s="70">
        <f>B9</f>
        <v>28318</v>
      </c>
      <c r="C11" s="70">
        <f t="shared" ref="C11:G11" si="0">C9</f>
        <v>41273.817925010269</v>
      </c>
      <c r="D11" s="70">
        <f t="shared" si="0"/>
        <v>48884.607525551131</v>
      </c>
      <c r="E11" s="70">
        <f t="shared" si="0"/>
        <v>62259.60581825822</v>
      </c>
      <c r="F11" s="70">
        <f t="shared" si="0"/>
        <v>72120.64189683969</v>
      </c>
      <c r="G11" s="70">
        <f t="shared" si="0"/>
        <v>88202.98225628103</v>
      </c>
    </row>
    <row r="12" spans="1:8" x14ac:dyDescent="0.3">
      <c r="A12" s="7" t="s">
        <v>340</v>
      </c>
      <c r="B12" s="12">
        <f>B11/BS_Forecast!B15</f>
        <v>0.24126708243874179</v>
      </c>
      <c r="C12" s="71">
        <f>C11/BS_Forecast!C15</f>
        <v>0.31456985474240495</v>
      </c>
      <c r="D12" s="71">
        <f>D11/BS_Forecast!D15</f>
        <v>0.34561051012638816</v>
      </c>
      <c r="E12" s="71">
        <f>E11/BS_Forecast!E15</f>
        <v>0.3936119138843131</v>
      </c>
      <c r="F12" s="71">
        <f>F11/BS_Forecast!F15</f>
        <v>0.42027883451764286</v>
      </c>
      <c r="G12" s="71">
        <f>G11/BS_Forecast!G15</f>
        <v>0.46136324241830412</v>
      </c>
    </row>
    <row r="14" spans="1:8" ht="15" thickBot="1" x14ac:dyDescent="0.35">
      <c r="A14" s="32" t="s">
        <v>342</v>
      </c>
    </row>
    <row r="15" spans="1:8" x14ac:dyDescent="0.3">
      <c r="A15" s="7" t="s">
        <v>343</v>
      </c>
      <c r="B15" s="72" t="str">
        <f>IF(0=0,"N/M (Zero Debt)",0)</f>
        <v>N/M (Zero Debt)</v>
      </c>
      <c r="C15" s="72" t="str">
        <f t="shared" ref="C15:G16" si="1">"N/M — Zero Debt"</f>
        <v>N/M — Zero Debt</v>
      </c>
      <c r="D15" s="72" t="str">
        <f t="shared" si="1"/>
        <v>N/M — Zero Debt</v>
      </c>
      <c r="E15" s="72" t="str">
        <f t="shared" si="1"/>
        <v>N/M — Zero Debt</v>
      </c>
      <c r="F15" s="72" t="str">
        <f t="shared" si="1"/>
        <v>N/M — Zero Debt</v>
      </c>
      <c r="G15" s="72" t="str">
        <f t="shared" si="1"/>
        <v>N/M — Zero Debt</v>
      </c>
    </row>
    <row r="16" spans="1:8" x14ac:dyDescent="0.3">
      <c r="A16" s="7" t="s">
        <v>344</v>
      </c>
      <c r="B16" s="72" t="str">
        <f>"N/M — Zero Debt"</f>
        <v>N/M — Zero Debt</v>
      </c>
      <c r="C16" s="72" t="str">
        <f t="shared" si="1"/>
        <v>N/M — Zero Debt</v>
      </c>
      <c r="D16" s="72" t="str">
        <f t="shared" si="1"/>
        <v>N/M — Zero Debt</v>
      </c>
      <c r="E16" s="72" t="str">
        <f t="shared" si="1"/>
        <v>N/M — Zero Debt</v>
      </c>
      <c r="F16" s="72" t="str">
        <f t="shared" si="1"/>
        <v>N/M — Zero Debt</v>
      </c>
      <c r="G16" s="72" t="str">
        <f t="shared" si="1"/>
        <v>N/M — Zero Debt</v>
      </c>
    </row>
    <row r="17" spans="1:8" x14ac:dyDescent="0.3">
      <c r="A17" s="7" t="s">
        <v>345</v>
      </c>
      <c r="B17" s="68">
        <f>CFS_Forecast!B28/ABS(CFS_Forecast!B18)</f>
        <v>1.8640031645569621</v>
      </c>
      <c r="C17" s="68">
        <f>CFS_Forecast!C28/ABS(CFS_Forecast!C18)</f>
        <v>1.8710474725292818</v>
      </c>
      <c r="D17" s="68">
        <f>CFS_Forecast!D28/ABS(CFS_Forecast!D18)</f>
        <v>1.7776831964950619</v>
      </c>
      <c r="E17" s="68">
        <f>CFS_Forecast!E28/ABS(CFS_Forecast!E18)</f>
        <v>1.7480952702689625</v>
      </c>
      <c r="F17" s="68">
        <f>CFS_Forecast!F28/ABS(CFS_Forecast!F18)</f>
        <v>1.7572127738666714</v>
      </c>
      <c r="G17" s="68">
        <f>CFS_Forecast!G28/ABS(CFS_Forecast!G18)</f>
        <v>1.7640322052743196</v>
      </c>
    </row>
    <row r="18" spans="1:8" x14ac:dyDescent="0.3">
      <c r="A18" s="7" t="s">
        <v>346</v>
      </c>
      <c r="B18" s="68">
        <f>CFS_Forecast!B28/(ABS(CFS_Forecast!B18)+ABS(CFS_Forecast!B19))</f>
        <v>1.3738192419825073</v>
      </c>
      <c r="C18" s="68">
        <f>CFS_Forecast!C28/(ABS(CFS_Forecast!C18)+ABS(CFS_Forecast!C19))</f>
        <v>1.8710474725292818</v>
      </c>
      <c r="D18" s="68">
        <f>CFS_Forecast!D28/(ABS(CFS_Forecast!D18)+ABS(CFS_Forecast!D19))</f>
        <v>1.3703352084461984</v>
      </c>
      <c r="E18" s="68">
        <f>CFS_Forecast!E28/(ABS(CFS_Forecast!E18)+ABS(CFS_Forecast!E19))</f>
        <v>1.7480952702689625</v>
      </c>
      <c r="F18" s="68">
        <f>CFS_Forecast!F28/(ABS(CFS_Forecast!F18)+ABS(CFS_Forecast!F19))</f>
        <v>1.4082913431277921</v>
      </c>
      <c r="G18" s="68">
        <f>CFS_Forecast!G28/(ABS(CFS_Forecast!G18)+ABS(CFS_Forecast!G19))</f>
        <v>1.7640322052743196</v>
      </c>
    </row>
    <row r="20" spans="1:8" ht="15" thickBot="1" x14ac:dyDescent="0.35">
      <c r="A20" s="32" t="s">
        <v>347</v>
      </c>
    </row>
    <row r="21" spans="1:8" x14ac:dyDescent="0.3">
      <c r="A21" s="7" t="s">
        <v>348</v>
      </c>
      <c r="B21" s="10">
        <v>0</v>
      </c>
      <c r="C21" s="10">
        <v>0</v>
      </c>
      <c r="D21" s="10">
        <v>0</v>
      </c>
      <c r="E21" s="10">
        <v>0</v>
      </c>
      <c r="F21" s="10">
        <v>0</v>
      </c>
      <c r="G21" s="10">
        <v>0</v>
      </c>
      <c r="H21" s="7" t="s">
        <v>353</v>
      </c>
    </row>
    <row r="22" spans="1:8" x14ac:dyDescent="0.3">
      <c r="A22" s="7" t="s">
        <v>349</v>
      </c>
      <c r="B22" s="10">
        <f>BS_Forecast!B29</f>
        <v>75817</v>
      </c>
      <c r="C22" s="73">
        <f>BS_Forecast!C29</f>
        <v>88419.523777749986</v>
      </c>
      <c r="D22" s="73">
        <f>BS_Forecast!D29</f>
        <v>97181.508435331983</v>
      </c>
      <c r="E22" s="73">
        <f>BS_Forecast!E29</f>
        <v>112323.59838836508</v>
      </c>
      <c r="F22" s="73">
        <f>BS_Forecast!F29</f>
        <v>123835.0286150786</v>
      </c>
      <c r="G22" s="73">
        <f>BS_Forecast!G29</f>
        <v>141614.03443131113</v>
      </c>
    </row>
    <row r="23" spans="1:8" x14ac:dyDescent="0.3">
      <c r="A23" s="7" t="s">
        <v>350</v>
      </c>
      <c r="B23" s="23">
        <f>IF(B22=0,"N/M",B21/B22)</f>
        <v>0</v>
      </c>
      <c r="C23" s="23">
        <f t="shared" ref="C23:G23" si="2">IF(C22=0,"N/M",C21/C22)</f>
        <v>0</v>
      </c>
      <c r="D23" s="23">
        <f t="shared" si="2"/>
        <v>0</v>
      </c>
      <c r="E23" s="23">
        <f t="shared" si="2"/>
        <v>0</v>
      </c>
      <c r="F23" s="23">
        <f t="shared" si="2"/>
        <v>0</v>
      </c>
      <c r="G23" s="23">
        <f t="shared" si="2"/>
        <v>0</v>
      </c>
    </row>
    <row r="24" spans="1:8" x14ac:dyDescent="0.3">
      <c r="A24" s="7" t="s">
        <v>351</v>
      </c>
      <c r="B24" s="74">
        <f>B21/(B21+B22)</f>
        <v>0</v>
      </c>
      <c r="C24" s="74">
        <f t="shared" ref="C24:G24" si="3">C21/(C21+C22)</f>
        <v>0</v>
      </c>
      <c r="D24" s="74">
        <f t="shared" si="3"/>
        <v>0</v>
      </c>
      <c r="E24" s="74">
        <f t="shared" si="3"/>
        <v>0</v>
      </c>
      <c r="F24" s="74">
        <f t="shared" si="3"/>
        <v>0</v>
      </c>
      <c r="G24" s="74">
        <f t="shared" si="3"/>
        <v>0</v>
      </c>
    </row>
    <row r="25" spans="1:8" x14ac:dyDescent="0.3">
      <c r="A25" s="7" t="s">
        <v>352</v>
      </c>
      <c r="B25" s="12">
        <f>B22/BS_Forecast!B15</f>
        <v>0.6459547421872337</v>
      </c>
      <c r="C25" s="71">
        <f>C22/BS_Forecast!C15</f>
        <v>0.67389250981565241</v>
      </c>
      <c r="D25" s="71">
        <f>D22/BS_Forecast!D15</f>
        <v>0.68706597854205265</v>
      </c>
      <c r="E25" s="71">
        <f>E22/BS_Forecast!E15</f>
        <v>0.71012185115781379</v>
      </c>
      <c r="F25" s="71">
        <f>F22/BS_Forecast!F15</f>
        <v>0.72164140709186897</v>
      </c>
      <c r="G25" s="71">
        <f>G22/BS_Forecast!G15</f>
        <v>0.74074037437112228</v>
      </c>
    </row>
    <row r="27" spans="1:8" ht="15" thickBot="1" x14ac:dyDescent="0.35">
      <c r="A27" s="32" t="s">
        <v>354</v>
      </c>
    </row>
    <row r="28" spans="1:8" x14ac:dyDescent="0.3">
      <c r="A28" s="7" t="s">
        <v>355</v>
      </c>
      <c r="B28" s="71">
        <f>ABS(CFS_Forecast!B18)/(Assumptions!B51*Assumptions!B52)</f>
        <v>1.9036144578313253E-2</v>
      </c>
      <c r="C28" s="71">
        <f>ABS(CFS_Forecast!C18)/(Assumptions!B51*Assumptions!B52)</f>
        <v>2.3197416592243971E-2</v>
      </c>
      <c r="D28" s="71">
        <f>ABS(CFS_Forecast!D18)/(Assumptions!B51*Assumptions!B52)</f>
        <v>2.533163173249699E-2</v>
      </c>
      <c r="E28" s="71">
        <f>ABS(CFS_Forecast!E18)/(Assumptions!B51*Assumptions!B52)</f>
        <v>2.7871986191995331E-2</v>
      </c>
      <c r="F28" s="71">
        <f>ABS(CFS_Forecast!F18)/(Assumptions!B51*Assumptions!B52)</f>
        <v>3.03925255177123E-2</v>
      </c>
      <c r="G28" s="71">
        <f>ABS(CFS_Forecast!G18)/(Assumptions!B51*Assumptions!B52)</f>
        <v>3.2725746984363722E-2</v>
      </c>
    </row>
    <row r="29" spans="1:8" x14ac:dyDescent="0.3">
      <c r="A29" s="7" t="s">
        <v>356</v>
      </c>
      <c r="B29" s="71">
        <f>ABS(CFS_Forecast!B19)/(Assumptions!B51*Assumptions!B52)</f>
        <v>6.7921686746987954E-3</v>
      </c>
      <c r="C29" s="71">
        <f>ABS(CFS_Forecast!C19)/(Assumptions!B51*Assumptions!B52)</f>
        <v>0</v>
      </c>
      <c r="D29" s="71">
        <f>ABS(CFS_Forecast!D19)/(Assumptions!B51*Assumptions!B52)</f>
        <v>7.5301204819277108E-3</v>
      </c>
      <c r="E29" s="71">
        <f>ABS(CFS_Forecast!E19)/(Assumptions!B51*Assumptions!B52)</f>
        <v>0</v>
      </c>
      <c r="F29" s="71">
        <f>ABS(CFS_Forecast!F19)/(Assumptions!B51*Assumptions!B52)</f>
        <v>7.5301204819277108E-3</v>
      </c>
      <c r="G29" s="71">
        <f>ABS(CFS_Forecast!G19)/(Assumptions!B51*Assumptions!B52)</f>
        <v>0</v>
      </c>
    </row>
    <row r="30" spans="1:8" x14ac:dyDescent="0.3">
      <c r="A30" s="7" t="s">
        <v>357</v>
      </c>
      <c r="B30" s="75">
        <f>B28+B29</f>
        <v>2.5828313253012047E-2</v>
      </c>
      <c r="C30" s="75">
        <f t="shared" ref="C30:G30" si="4">C28+C29</f>
        <v>2.3197416592243971E-2</v>
      </c>
      <c r="D30" s="75">
        <f t="shared" si="4"/>
        <v>3.2861752214424701E-2</v>
      </c>
      <c r="E30" s="75">
        <f t="shared" si="4"/>
        <v>2.7871986191995331E-2</v>
      </c>
      <c r="F30" s="75">
        <f t="shared" si="4"/>
        <v>3.7922645999640014E-2</v>
      </c>
      <c r="G30" s="75">
        <f t="shared" si="4"/>
        <v>3.2725746984363722E-2</v>
      </c>
    </row>
    <row r="31" spans="1:8" x14ac:dyDescent="0.3">
      <c r="A31" s="7" t="s">
        <v>358</v>
      </c>
      <c r="B31" s="12">
        <f>ABS(CFS_Forecast!B18)/IS_Forecast!B19</f>
        <v>0.58133652209906639</v>
      </c>
      <c r="C31" s="12">
        <f>ABS(CFS_Forecast!C18)/IS_Forecast!C19</f>
        <v>0.55000000000000004</v>
      </c>
      <c r="D31" s="12">
        <f>ABS(CFS_Forecast!D18)/IS_Forecast!D19</f>
        <v>0.55000000000000004</v>
      </c>
      <c r="E31" s="12">
        <f>ABS(CFS_Forecast!E18)/IS_Forecast!E19</f>
        <v>0.55000000000000004</v>
      </c>
      <c r="F31" s="12">
        <f>ABS(CFS_Forecast!F18)/IS_Forecast!F19</f>
        <v>0.55000000000000004</v>
      </c>
      <c r="G31" s="12">
        <f>ABS(CFS_Forecast!G18)/IS_Forecast!G19</f>
        <v>0.55000000000000004</v>
      </c>
    </row>
    <row r="32" spans="1:8" x14ac:dyDescent="0.3">
      <c r="A32" s="7" t="s">
        <v>359</v>
      </c>
      <c r="B32" s="71">
        <f>ABS(CFS_Forecast!B18)/CFS_Forecast!B28</f>
        <v>0.53647977590085305</v>
      </c>
      <c r="C32" s="71">
        <f>ABS(CFS_Forecast!C18)/CFS_Forecast!C28</f>
        <v>0.5344599828074913</v>
      </c>
      <c r="D32" s="71">
        <f>ABS(CFS_Forecast!D18)/CFS_Forecast!D28</f>
        <v>0.56252992770119703</v>
      </c>
      <c r="E32" s="71">
        <f>ABS(CFS_Forecast!E18)/CFS_Forecast!E28</f>
        <v>0.57205120167514645</v>
      </c>
      <c r="F32" s="71">
        <f>ABS(CFS_Forecast!F18)/CFS_Forecast!F28</f>
        <v>0.56908304723937486</v>
      </c>
      <c r="G32" s="71">
        <f>ABS(CFS_Forecast!G18)/CFS_Forecast!G28</f>
        <v>0.56688307447566855</v>
      </c>
    </row>
    <row r="34" spans="1:8" ht="15" thickBot="1" x14ac:dyDescent="0.35">
      <c r="A34" s="32" t="s">
        <v>360</v>
      </c>
    </row>
    <row r="35" spans="1:8" x14ac:dyDescent="0.3">
      <c r="A35" s="7" t="s">
        <v>361</v>
      </c>
      <c r="B35" s="71">
        <f>IS_Forecast!B19/IS_Forecast!B4</f>
        <v>0.14149150777640399</v>
      </c>
      <c r="C35" s="71">
        <f>IS_Forecast!C19/IS_Forecast!C4</f>
        <v>0.17608224660472954</v>
      </c>
      <c r="D35" s="71">
        <f>IS_Forecast!D19/IS_Forecast!D4</f>
        <v>0.18139831526452452</v>
      </c>
      <c r="E35" s="71">
        <f>IS_Forecast!E19/IS_Forecast!E4</f>
        <v>0.18566478434055497</v>
      </c>
      <c r="F35" s="71">
        <f>IS_Forecast!F19/IS_Forecast!F4</f>
        <v>0.18921023783322641</v>
      </c>
      <c r="G35" s="68">
        <f>IS_Forecast!G19/IS_Forecast!G4</f>
        <v>0.19130124752977012</v>
      </c>
    </row>
    <row r="36" spans="1:8" x14ac:dyDescent="0.3">
      <c r="A36" s="7" t="s">
        <v>362</v>
      </c>
      <c r="B36" s="68">
        <f>IS_Forecast!B4/BS_Forecast!B15</f>
        <v>1.3092560406229765</v>
      </c>
      <c r="C36" s="68">
        <f>IS_Forecast!C4/BS_Forecast!C15</f>
        <v>1.2121933547414174</v>
      </c>
      <c r="D36" s="68">
        <f>IS_Forecast!D4/BS_Forecast!D15</f>
        <v>1.1919282540054126</v>
      </c>
      <c r="E36" s="68">
        <f>IS_Forecast!E4/BS_Forecast!E15</f>
        <v>1.1457916133190105</v>
      </c>
      <c r="F36" s="68">
        <f>IS_Forecast!F4/BS_Forecast!F15</f>
        <v>1.1300703596828749</v>
      </c>
      <c r="G36" s="68">
        <f>IS_Forecast!G4/BS_Forecast!G15</f>
        <v>1.080281346803974</v>
      </c>
    </row>
    <row r="37" spans="1:8" x14ac:dyDescent="0.3">
      <c r="A37" s="7" t="s">
        <v>363</v>
      </c>
      <c r="B37" s="23">
        <f>BS_Forecast!B15/BS_Forecast!B29</f>
        <v>1.5480960734399936</v>
      </c>
      <c r="C37" s="23">
        <f>BS_Forecast!C15/BS_Forecast!C29</f>
        <v>1.4839161816378643</v>
      </c>
      <c r="D37" s="23">
        <f>BS_Forecast!D15/BS_Forecast!D29</f>
        <v>1.4554642948876473</v>
      </c>
      <c r="E37" s="23">
        <f>BS_Forecast!E15/BS_Forecast!E29</f>
        <v>1.4082090254926758</v>
      </c>
      <c r="F37" s="23">
        <f>BS_Forecast!F15/BS_Forecast!F29</f>
        <v>1.3857297962292434</v>
      </c>
      <c r="G37" s="23">
        <f>BS_Forecast!G15/BS_Forecast!G29</f>
        <v>1.35000066770896</v>
      </c>
    </row>
    <row r="38" spans="1:8" x14ac:dyDescent="0.3">
      <c r="A38" s="7" t="s">
        <v>364</v>
      </c>
      <c r="B38" s="71">
        <f>B35*B36*B37</f>
        <v>0.28678264769115103</v>
      </c>
      <c r="C38" s="71">
        <f t="shared" ref="C38:G38" si="5">C35*C36*C37</f>
        <v>0.31673557149430565</v>
      </c>
      <c r="D38" s="71">
        <f t="shared" si="5"/>
        <v>0.31469143276686712</v>
      </c>
      <c r="E38" s="71">
        <f t="shared" si="5"/>
        <v>0.29957274577488524</v>
      </c>
      <c r="F38" s="71">
        <f t="shared" si="5"/>
        <v>0.29629796658363855</v>
      </c>
      <c r="G38" s="71">
        <f t="shared" si="5"/>
        <v>0.27899001657927869</v>
      </c>
    </row>
    <row r="39" spans="1:8" x14ac:dyDescent="0.3">
      <c r="A39" s="7" t="s">
        <v>365</v>
      </c>
      <c r="B39" s="71">
        <f>IS_Forecast!B19/BS_Forecast!B29</f>
        <v>0.28678264769115108</v>
      </c>
      <c r="C39" s="71">
        <f>IS_Forecast!C19/BS_Forecast!C29</f>
        <v>0.3167355714943057</v>
      </c>
      <c r="D39" s="71">
        <f>IS_Forecast!D19/BS_Forecast!D29</f>
        <v>0.31469143276686706</v>
      </c>
      <c r="E39" s="71">
        <f>IS_Forecast!E19/BS_Forecast!E29</f>
        <v>0.29957274577488519</v>
      </c>
      <c r="F39" s="71">
        <f>IS_Forecast!F19/BS_Forecast!F29</f>
        <v>0.29629796658363855</v>
      </c>
      <c r="G39" s="71">
        <f>IS_Forecast!G19/BS_Forecast!G29</f>
        <v>0.27899001657927863</v>
      </c>
    </row>
    <row r="40" spans="1:8" x14ac:dyDescent="0.3">
      <c r="A40" s="7" t="s">
        <v>366</v>
      </c>
      <c r="B40" s="71">
        <f>IS_Forecast!B19/BS_Forecast!B15</f>
        <v>0.18524861125310976</v>
      </c>
      <c r="C40" s="71">
        <f>IS_Forecast!C19/BS_Forecast!C15</f>
        <v>0.21344572922219268</v>
      </c>
      <c r="D40" s="71">
        <f>IS_Forecast!D19/BS_Forecast!D15</f>
        <v>0.21621377719276808</v>
      </c>
      <c r="E40" s="71">
        <f>IS_Forecast!E19/BS_Forecast!E15</f>
        <v>0.21273315278609062</v>
      </c>
      <c r="F40" s="71">
        <f>IS_Forecast!F19/BS_Forecast!F15</f>
        <v>0.21382088152387649</v>
      </c>
      <c r="G40" s="71">
        <f>IS_Forecast!G19/BS_Forecast!G15</f>
        <v>0.20665916932674044</v>
      </c>
    </row>
    <row r="41" spans="1:8" x14ac:dyDescent="0.3">
      <c r="A41" s="7" t="s">
        <v>367</v>
      </c>
      <c r="B41" s="71">
        <f>IS_Forecast!B13*(1-Assumptions!B20)/BS_Forecast!B29</f>
        <v>0.27353364021261722</v>
      </c>
      <c r="C41" s="71">
        <f>IS_Forecast!C13*(1-Assumptions!B20)/BS_Forecast!B29</f>
        <v>0.33375903023068693</v>
      </c>
      <c r="D41" s="71">
        <f>IS_Forecast!D13*(1-Assumptions!B20)/BS_Forecast!B29</f>
        <v>0.36530313950644316</v>
      </c>
      <c r="E41" s="71">
        <f>IS_Forecast!E13*(1-Assumptions!B20)/BS_Forecast!B29</f>
        <v>0.40331441213076213</v>
      </c>
      <c r="F41" s="71">
        <f>IS_Forecast!F13*(1-Assumptions!B20)/BS_Forecast!B29</f>
        <v>0.44101015828210666</v>
      </c>
      <c r="G41" s="71">
        <f>IS_Forecast!G13*(1-Assumptions!B20)/BS_Forecast!B29</f>
        <v>0.4757231467065437</v>
      </c>
      <c r="H41" s="7" t="s">
        <v>373</v>
      </c>
    </row>
    <row r="43" spans="1:8" ht="15" thickBot="1" x14ac:dyDescent="0.35">
      <c r="A43" s="32" t="s">
        <v>368</v>
      </c>
    </row>
    <row r="44" spans="1:8" x14ac:dyDescent="0.3">
      <c r="A44" s="7" t="s">
        <v>276</v>
      </c>
      <c r="B44" s="7" t="s">
        <v>369</v>
      </c>
      <c r="C44" s="7" t="s">
        <v>370</v>
      </c>
      <c r="D44" s="7" t="s">
        <v>371</v>
      </c>
      <c r="E44" s="7" t="s">
        <v>372</v>
      </c>
    </row>
    <row r="45" spans="1:8" x14ac:dyDescent="0.3">
      <c r="A45" s="7" t="s">
        <v>335</v>
      </c>
      <c r="B45" s="23">
        <f>B7</f>
        <v>2.6224031007751938</v>
      </c>
      <c r="C45" s="7" t="s">
        <v>379</v>
      </c>
      <c r="D45" s="7" t="s">
        <v>387</v>
      </c>
      <c r="E45" s="76" t="s">
        <v>389</v>
      </c>
    </row>
    <row r="46" spans="1:8" x14ac:dyDescent="0.3">
      <c r="A46" s="7" t="s">
        <v>338</v>
      </c>
      <c r="B46" s="23">
        <f>B10</f>
        <v>0.87092111333230815</v>
      </c>
      <c r="C46" s="7" t="s">
        <v>380</v>
      </c>
      <c r="D46" s="7" t="s">
        <v>387</v>
      </c>
      <c r="E46" s="7" t="s">
        <v>390</v>
      </c>
    </row>
    <row r="47" spans="1:8" x14ac:dyDescent="0.3">
      <c r="A47" s="7" t="s">
        <v>345</v>
      </c>
      <c r="B47" s="23">
        <f>B17</f>
        <v>1.8640031645569621</v>
      </c>
      <c r="C47" s="7" t="s">
        <v>381</v>
      </c>
      <c r="D47" s="7" t="s">
        <v>387</v>
      </c>
      <c r="E47" s="76" t="s">
        <v>391</v>
      </c>
    </row>
    <row r="48" spans="1:8" x14ac:dyDescent="0.3">
      <c r="A48" s="7" t="s">
        <v>374</v>
      </c>
      <c r="B48" s="23">
        <f>B23</f>
        <v>0</v>
      </c>
      <c r="C48" s="7" t="s">
        <v>382</v>
      </c>
      <c r="D48" s="7" t="s">
        <v>387</v>
      </c>
      <c r="E48" s="76" t="s">
        <v>69</v>
      </c>
    </row>
    <row r="49" spans="1:5" x14ac:dyDescent="0.3">
      <c r="A49" s="7" t="s">
        <v>375</v>
      </c>
      <c r="B49" s="40">
        <f>B31</f>
        <v>0.58133652209906639</v>
      </c>
      <c r="C49" s="7" t="s">
        <v>384</v>
      </c>
      <c r="D49" s="7" t="s">
        <v>387</v>
      </c>
      <c r="E49" s="76" t="s">
        <v>392</v>
      </c>
    </row>
    <row r="50" spans="1:5" x14ac:dyDescent="0.3">
      <c r="A50" s="7" t="s">
        <v>376</v>
      </c>
      <c r="B50" s="40">
        <f>B41</f>
        <v>0.27353364021261722</v>
      </c>
      <c r="C50" s="7" t="s">
        <v>385</v>
      </c>
      <c r="D50" s="7" t="s">
        <v>387</v>
      </c>
      <c r="E50" s="7" t="s">
        <v>393</v>
      </c>
    </row>
    <row r="51" spans="1:5" x14ac:dyDescent="0.3">
      <c r="A51" s="7" t="s">
        <v>377</v>
      </c>
      <c r="B51" s="40">
        <f>B30</f>
        <v>2.5828313253012047E-2</v>
      </c>
      <c r="C51" s="7" t="s">
        <v>383</v>
      </c>
      <c r="D51" s="7" t="s">
        <v>387</v>
      </c>
      <c r="E51" s="7" t="s">
        <v>394</v>
      </c>
    </row>
    <row r="52" spans="1:5" x14ac:dyDescent="0.3">
      <c r="A52" s="7" t="s">
        <v>378</v>
      </c>
      <c r="B52" s="39">
        <f>IS_Forecast!B5</f>
        <v>4.7033733741236108E-2</v>
      </c>
      <c r="C52" s="7" t="s">
        <v>386</v>
      </c>
      <c r="D52" s="7" t="s">
        <v>388</v>
      </c>
      <c r="E52" s="76" t="s">
        <v>395</v>
      </c>
    </row>
  </sheetData>
  <conditionalFormatting sqref="D45:D52">
    <cfRule type="containsText" dxfId="10" priority="1" operator="containsText" text="RISK">
      <formula>NOT(ISERROR(SEARCH("RISK",D45)))</formula>
    </cfRule>
    <cfRule type="containsText" dxfId="9" priority="2" operator="containsText" text="WATCH">
      <formula>NOT(ISERROR(SEARCH("WATCH",D45)))</formula>
    </cfRule>
    <cfRule type="containsText" dxfId="8" priority="3" operator="containsText" text="STRONG">
      <formula>NOT(ISERROR(SEARCH("STRONG",D45)))</formula>
    </cfRule>
  </conditionalFormatting>
  <pageMargins left="0.7" right="0.7" top="0.75" bottom="0.75" header="0.3" footer="0.3"/>
  <pageSetup paperSize="9" scale="61"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53607-8626-43EC-84AA-F301235F0671}">
  <sheetPr>
    <tabColor rgb="FF7030A0"/>
  </sheetPr>
  <dimension ref="A1:H74"/>
  <sheetViews>
    <sheetView showGridLines="0" zoomScale="85" zoomScaleNormal="85" workbookViewId="0">
      <selection activeCell="C67" sqref="C67"/>
    </sheetView>
  </sheetViews>
  <sheetFormatPr defaultColWidth="8.77734375" defaultRowHeight="14.4" x14ac:dyDescent="0.3"/>
  <cols>
    <col min="1" max="1" width="40.6640625" style="7" customWidth="1"/>
    <col min="2" max="2" width="45.6640625" style="7" customWidth="1"/>
    <col min="3" max="3" width="14.5546875" style="7" bestFit="1" customWidth="1"/>
    <col min="4" max="4" width="19.33203125" style="7" bestFit="1" customWidth="1"/>
    <col min="5" max="5" width="35.6640625" style="7" customWidth="1"/>
    <col min="6" max="6" width="23.21875" style="7" bestFit="1" customWidth="1"/>
    <col min="7" max="7" width="19.33203125" style="7" bestFit="1" customWidth="1"/>
    <col min="8" max="8" width="34.21875" style="7" bestFit="1" customWidth="1"/>
    <col min="9" max="16384" width="8.77734375" style="7"/>
  </cols>
  <sheetData>
    <row r="1" spans="1:8" ht="18" x14ac:dyDescent="0.35">
      <c r="A1" s="6" t="s">
        <v>396</v>
      </c>
    </row>
    <row r="2" spans="1:8" x14ac:dyDescent="0.3">
      <c r="A2" s="7" t="s">
        <v>397</v>
      </c>
    </row>
    <row r="3" spans="1:8" x14ac:dyDescent="0.3">
      <c r="A3" s="7" t="s">
        <v>398</v>
      </c>
    </row>
    <row r="5" spans="1:8" ht="15" thickBot="1" x14ac:dyDescent="0.35">
      <c r="A5" s="104" t="s">
        <v>399</v>
      </c>
    </row>
    <row r="6" spans="1:8" x14ac:dyDescent="0.3">
      <c r="A6" s="7" t="s">
        <v>400</v>
      </c>
    </row>
    <row r="7" spans="1:8" x14ac:dyDescent="0.3">
      <c r="B7" s="8" t="s">
        <v>401</v>
      </c>
      <c r="C7" s="8" t="s">
        <v>402</v>
      </c>
      <c r="D7" s="8" t="s">
        <v>403</v>
      </c>
      <c r="E7" s="8" t="s">
        <v>404</v>
      </c>
      <c r="F7" s="8" t="s">
        <v>405</v>
      </c>
      <c r="G7" s="8" t="s">
        <v>406</v>
      </c>
    </row>
    <row r="8" spans="1:8" x14ac:dyDescent="0.3">
      <c r="A8" s="7" t="s">
        <v>407</v>
      </c>
      <c r="B8" s="7">
        <v>-1</v>
      </c>
      <c r="C8" s="7">
        <v>0</v>
      </c>
      <c r="D8" s="7">
        <v>1</v>
      </c>
      <c r="E8" s="7">
        <v>1</v>
      </c>
      <c r="F8" s="7">
        <v>0.3</v>
      </c>
      <c r="G8" s="76">
        <f>AVERAGE(B8:E8)*F8</f>
        <v>7.4999999999999997E-2</v>
      </c>
    </row>
    <row r="9" spans="1:8" x14ac:dyDescent="0.3">
      <c r="A9" s="7" t="s">
        <v>408</v>
      </c>
      <c r="B9" s="7">
        <v>0</v>
      </c>
      <c r="C9" s="7">
        <v>1</v>
      </c>
      <c r="D9" s="7">
        <v>1</v>
      </c>
      <c r="E9" s="7">
        <v>1</v>
      </c>
      <c r="F9" s="7">
        <v>0.2</v>
      </c>
      <c r="G9" s="76">
        <f t="shared" ref="G9:G13" si="0">AVERAGE(B9:E9)*F9</f>
        <v>0.15000000000000002</v>
      </c>
    </row>
    <row r="10" spans="1:8" x14ac:dyDescent="0.3">
      <c r="A10" s="7" t="s">
        <v>409</v>
      </c>
      <c r="B10" s="7">
        <v>1</v>
      </c>
      <c r="C10" s="7">
        <v>1</v>
      </c>
      <c r="D10" s="7">
        <v>2</v>
      </c>
      <c r="E10" s="7">
        <v>2</v>
      </c>
      <c r="F10" s="7">
        <v>0.2</v>
      </c>
      <c r="G10" s="76">
        <f t="shared" si="0"/>
        <v>0.30000000000000004</v>
      </c>
    </row>
    <row r="11" spans="1:8" x14ac:dyDescent="0.3">
      <c r="A11" s="7" t="s">
        <v>410</v>
      </c>
      <c r="B11" s="7">
        <v>-1</v>
      </c>
      <c r="C11" s="7">
        <v>-1</v>
      </c>
      <c r="D11" s="7">
        <v>0</v>
      </c>
      <c r="E11" s="7">
        <v>1</v>
      </c>
      <c r="F11" s="7">
        <v>0.15</v>
      </c>
      <c r="G11" s="76">
        <f t="shared" si="0"/>
        <v>-3.7499999999999999E-2</v>
      </c>
    </row>
    <row r="12" spans="1:8" x14ac:dyDescent="0.3">
      <c r="A12" s="7" t="s">
        <v>411</v>
      </c>
      <c r="B12" s="7">
        <v>1</v>
      </c>
      <c r="C12" s="7">
        <v>1</v>
      </c>
      <c r="D12" s="7">
        <v>1</v>
      </c>
      <c r="E12" s="7">
        <v>1</v>
      </c>
      <c r="F12" s="7">
        <v>0.1</v>
      </c>
      <c r="G12" s="76">
        <f t="shared" si="0"/>
        <v>0.1</v>
      </c>
    </row>
    <row r="13" spans="1:8" x14ac:dyDescent="0.3">
      <c r="A13" s="7" t="s">
        <v>412</v>
      </c>
      <c r="B13" s="7">
        <v>0</v>
      </c>
      <c r="C13" s="7">
        <v>0</v>
      </c>
      <c r="D13" s="7">
        <v>1</v>
      </c>
      <c r="E13" s="7">
        <v>1</v>
      </c>
      <c r="F13" s="7">
        <v>0.05</v>
      </c>
      <c r="G13" s="76">
        <f t="shared" si="0"/>
        <v>2.5000000000000001E-2</v>
      </c>
    </row>
    <row r="14" spans="1:8" x14ac:dyDescent="0.3">
      <c r="F14" s="76" t="s">
        <v>413</v>
      </c>
      <c r="G14" s="76">
        <f>SUM(F8:F13)</f>
        <v>1</v>
      </c>
    </row>
    <row r="15" spans="1:8" x14ac:dyDescent="0.3">
      <c r="A15" s="7" t="s">
        <v>414</v>
      </c>
      <c r="G15" s="76">
        <f>SUM(G8:G13)</f>
        <v>0.61250000000000016</v>
      </c>
      <c r="H15" s="76" t="str">
        <f>IF(G15&gt;0.5,"POSITIVE",IF(G15&lt;-0.5,"NEGATIVE","NEUTRAL"))</f>
        <v>POSITIVE</v>
      </c>
    </row>
    <row r="17" spans="1:6" ht="15" thickBot="1" x14ac:dyDescent="0.35">
      <c r="A17" s="104" t="s">
        <v>415</v>
      </c>
    </row>
    <row r="18" spans="1:6" x14ac:dyDescent="0.3">
      <c r="B18" s="8" t="s">
        <v>16</v>
      </c>
      <c r="C18" s="8" t="s">
        <v>17</v>
      </c>
      <c r="D18" s="8" t="s">
        <v>18</v>
      </c>
      <c r="E18" s="8" t="s">
        <v>416</v>
      </c>
    </row>
    <row r="19" spans="1:6" x14ac:dyDescent="0.3">
      <c r="A19" s="7" t="s">
        <v>420</v>
      </c>
      <c r="B19" s="69">
        <v>157000</v>
      </c>
      <c r="C19" s="69">
        <v>167500</v>
      </c>
      <c r="D19" s="69">
        <v>180000</v>
      </c>
    </row>
    <row r="20" spans="1:6" x14ac:dyDescent="0.3">
      <c r="A20" s="7" t="s">
        <v>417</v>
      </c>
      <c r="B20" s="69">
        <f>IS_Forecast!C4</f>
        <v>159048.44999999998</v>
      </c>
      <c r="C20" s="69">
        <f>IS_Forecast!D4</f>
        <v>168591.35699999999</v>
      </c>
      <c r="D20" s="69">
        <f>IS_Forecast!E4</f>
        <v>181235.70877499998</v>
      </c>
    </row>
    <row r="21" spans="1:6" x14ac:dyDescent="0.3">
      <c r="A21" s="7" t="s">
        <v>418</v>
      </c>
      <c r="B21" s="71">
        <f>B20/B19-1</f>
        <v>1.304745222929915E-2</v>
      </c>
      <c r="C21" s="71">
        <f t="shared" ref="C21:D21" si="1">C20/C19-1</f>
        <v>6.5155641791043717E-3</v>
      </c>
      <c r="D21" s="71">
        <f t="shared" si="1"/>
        <v>6.8650487499999358E-3</v>
      </c>
    </row>
    <row r="22" spans="1:6" x14ac:dyDescent="0.3">
      <c r="A22" s="7" t="s">
        <v>419</v>
      </c>
      <c r="B22" s="12">
        <v>0.24299999999999999</v>
      </c>
      <c r="C22" s="12">
        <v>0.25</v>
      </c>
      <c r="D22" s="12">
        <v>0.25600000000000001</v>
      </c>
    </row>
    <row r="23" spans="1:6" x14ac:dyDescent="0.3">
      <c r="A23" s="7" t="s">
        <v>421</v>
      </c>
      <c r="B23" s="40">
        <f>IS_Forecast!C11</f>
        <v>0.24499999999999997</v>
      </c>
      <c r="C23" s="40">
        <f>IS_Forecast!D11</f>
        <v>0.252</v>
      </c>
      <c r="D23" s="40">
        <f>IS_Forecast!E11</f>
        <v>0.25800000000000001</v>
      </c>
    </row>
    <row r="24" spans="1:6" x14ac:dyDescent="0.3">
      <c r="A24" s="7" t="s">
        <v>422</v>
      </c>
      <c r="B24" s="77">
        <f>(B23-B22)*10000</f>
        <v>19.999999999999741</v>
      </c>
      <c r="C24" s="77">
        <f t="shared" ref="C24:D24" si="2">(C23-C22)*10000</f>
        <v>20.000000000000018</v>
      </c>
      <c r="D24" s="77">
        <f t="shared" si="2"/>
        <v>20.000000000000018</v>
      </c>
      <c r="E24" s="7" t="s">
        <v>423</v>
      </c>
    </row>
    <row r="25" spans="1:6" x14ac:dyDescent="0.3">
      <c r="A25" s="7" t="s">
        <v>424</v>
      </c>
      <c r="B25" s="7">
        <v>63.5</v>
      </c>
      <c r="C25" s="7">
        <v>69.2</v>
      </c>
      <c r="D25" s="7">
        <v>76.8</v>
      </c>
    </row>
    <row r="26" spans="1:6" x14ac:dyDescent="0.3">
      <c r="A26" s="7" t="s">
        <v>425</v>
      </c>
      <c r="B26" s="78">
        <f>IS_Forecast!C19/Assumptions!B51</f>
        <v>67.483393722891549</v>
      </c>
      <c r="C26" s="78">
        <f>IS_Forecast!D19/Assumptions!B51</f>
        <v>73.692019585445777</v>
      </c>
      <c r="D26" s="78">
        <f>IS_Forecast!E19/Assumptions!B51</f>
        <v>81.082141649440956</v>
      </c>
    </row>
    <row r="27" spans="1:6" x14ac:dyDescent="0.3">
      <c r="A27" s="7" t="s">
        <v>418</v>
      </c>
      <c r="B27" s="12">
        <f>B26/B25-1</f>
        <v>6.2730609809315663E-2</v>
      </c>
      <c r="C27" s="12">
        <f t="shared" ref="C27:D27" si="3">C26/C25-1</f>
        <v>6.4913577824360802E-2</v>
      </c>
      <c r="D27" s="12">
        <f t="shared" si="3"/>
        <v>5.5757052727095857E-2</v>
      </c>
      <c r="E27" s="7" t="s">
        <v>426</v>
      </c>
    </row>
    <row r="29" spans="1:6" ht="15" thickBot="1" x14ac:dyDescent="0.35">
      <c r="A29" s="104" t="s">
        <v>427</v>
      </c>
    </row>
    <row r="30" spans="1:6" x14ac:dyDescent="0.3">
      <c r="A30" s="8" t="s">
        <v>428</v>
      </c>
      <c r="B30" s="8" t="s">
        <v>429</v>
      </c>
      <c r="C30" s="8" t="s">
        <v>430</v>
      </c>
      <c r="D30" s="8" t="s">
        <v>431</v>
      </c>
      <c r="E30" s="8" t="s">
        <v>432</v>
      </c>
      <c r="F30" s="8" t="s">
        <v>433</v>
      </c>
    </row>
    <row r="31" spans="1:6" x14ac:dyDescent="0.3">
      <c r="A31" s="79">
        <v>46023</v>
      </c>
      <c r="B31" s="7" t="s">
        <v>434</v>
      </c>
      <c r="C31" s="7" t="s">
        <v>444</v>
      </c>
      <c r="D31" s="7">
        <v>1</v>
      </c>
      <c r="E31" s="7" t="s">
        <v>453</v>
      </c>
      <c r="F31" s="7" t="s">
        <v>456</v>
      </c>
    </row>
    <row r="32" spans="1:6" x14ac:dyDescent="0.3">
      <c r="A32" s="79">
        <v>45992</v>
      </c>
      <c r="B32" s="7" t="s">
        <v>435</v>
      </c>
      <c r="C32" s="7" t="s">
        <v>445</v>
      </c>
      <c r="D32" s="7">
        <v>2</v>
      </c>
      <c r="E32" s="7" t="s">
        <v>454</v>
      </c>
      <c r="F32" s="7" t="s">
        <v>457</v>
      </c>
    </row>
    <row r="33" spans="1:8" x14ac:dyDescent="0.3">
      <c r="A33" s="79">
        <v>45962</v>
      </c>
      <c r="B33" s="7" t="s">
        <v>436</v>
      </c>
      <c r="C33" s="7" t="s">
        <v>446</v>
      </c>
      <c r="D33" s="7">
        <v>1</v>
      </c>
      <c r="E33" s="7" t="s">
        <v>453</v>
      </c>
      <c r="F33" s="7" t="s">
        <v>458</v>
      </c>
    </row>
    <row r="34" spans="1:8" x14ac:dyDescent="0.3">
      <c r="A34" s="79">
        <v>45931</v>
      </c>
      <c r="B34" s="7" t="s">
        <v>437</v>
      </c>
      <c r="C34" s="7" t="s">
        <v>447</v>
      </c>
      <c r="D34" s="7">
        <v>2</v>
      </c>
      <c r="E34" s="7" t="s">
        <v>454</v>
      </c>
      <c r="F34" s="7" t="s">
        <v>459</v>
      </c>
    </row>
    <row r="35" spans="1:8" x14ac:dyDescent="0.3">
      <c r="A35" s="79">
        <v>45901</v>
      </c>
      <c r="B35" s="7" t="s">
        <v>438</v>
      </c>
      <c r="C35" s="7" t="s">
        <v>448</v>
      </c>
      <c r="D35" s="7">
        <v>1</v>
      </c>
      <c r="E35" s="7" t="s">
        <v>454</v>
      </c>
      <c r="F35" s="7" t="s">
        <v>460</v>
      </c>
    </row>
    <row r="36" spans="1:8" x14ac:dyDescent="0.3">
      <c r="A36" s="79">
        <v>45870</v>
      </c>
      <c r="B36" s="7" t="s">
        <v>439</v>
      </c>
      <c r="C36" s="7" t="s">
        <v>449</v>
      </c>
      <c r="D36" s="7">
        <v>1</v>
      </c>
      <c r="E36" s="7" t="s">
        <v>455</v>
      </c>
      <c r="F36" s="7" t="s">
        <v>461</v>
      </c>
    </row>
    <row r="37" spans="1:8" x14ac:dyDescent="0.3">
      <c r="A37" s="79">
        <v>45839</v>
      </c>
      <c r="B37" s="7" t="s">
        <v>440</v>
      </c>
      <c r="C37" s="7" t="s">
        <v>444</v>
      </c>
      <c r="D37" s="7">
        <v>-1</v>
      </c>
      <c r="E37" s="7" t="s">
        <v>453</v>
      </c>
      <c r="F37" s="7" t="s">
        <v>462</v>
      </c>
    </row>
    <row r="38" spans="1:8" x14ac:dyDescent="0.3">
      <c r="A38" s="79">
        <v>45809</v>
      </c>
      <c r="B38" s="7" t="s">
        <v>441</v>
      </c>
      <c r="C38" s="7" t="s">
        <v>450</v>
      </c>
      <c r="D38" s="7">
        <v>-1</v>
      </c>
      <c r="E38" s="7" t="s">
        <v>454</v>
      </c>
      <c r="F38" s="7" t="s">
        <v>463</v>
      </c>
    </row>
    <row r="39" spans="1:8" x14ac:dyDescent="0.3">
      <c r="A39" s="79">
        <v>45778</v>
      </c>
      <c r="B39" s="7" t="s">
        <v>442</v>
      </c>
      <c r="C39" s="7" t="s">
        <v>451</v>
      </c>
      <c r="D39" s="7">
        <v>2</v>
      </c>
      <c r="E39" s="7" t="s">
        <v>453</v>
      </c>
      <c r="F39" s="7" t="s">
        <v>464</v>
      </c>
    </row>
    <row r="40" spans="1:8" x14ac:dyDescent="0.3">
      <c r="A40" s="79">
        <v>45748</v>
      </c>
      <c r="B40" s="7" t="s">
        <v>443</v>
      </c>
      <c r="C40" s="7" t="s">
        <v>452</v>
      </c>
      <c r="D40" s="7">
        <v>-1</v>
      </c>
      <c r="E40" s="7" t="s">
        <v>453</v>
      </c>
      <c r="F40" s="7" t="s">
        <v>464</v>
      </c>
    </row>
    <row r="42" spans="1:8" x14ac:dyDescent="0.3">
      <c r="A42" s="7" t="s">
        <v>465</v>
      </c>
      <c r="D42" s="76">
        <f>AVERAGE(D31:D40)</f>
        <v>0.7</v>
      </c>
      <c r="E42" s="76" t="str">
        <f>IF(D42&gt;0.3,"NET POSITIVE",IF(D42&lt;-0.3,"NET NEGATIVE","MIXED"))</f>
        <v>NET POSITIVE</v>
      </c>
    </row>
    <row r="44" spans="1:8" ht="15" thickBot="1" x14ac:dyDescent="0.35">
      <c r="A44" s="104" t="s">
        <v>466</v>
      </c>
    </row>
    <row r="45" spans="1:8" x14ac:dyDescent="0.3">
      <c r="B45" s="7" t="s">
        <v>467</v>
      </c>
      <c r="C45" s="7" t="s">
        <v>430</v>
      </c>
      <c r="D45" s="7" t="s">
        <v>468</v>
      </c>
      <c r="E45" s="7" t="s">
        <v>469</v>
      </c>
      <c r="F45" s="7" t="s">
        <v>470</v>
      </c>
      <c r="G45" s="7" t="s">
        <v>471</v>
      </c>
      <c r="H45" s="7" t="s">
        <v>472</v>
      </c>
    </row>
    <row r="46" spans="1:8" x14ac:dyDescent="0.3">
      <c r="B46" s="7" t="s">
        <v>473</v>
      </c>
      <c r="C46" s="7" t="s">
        <v>452</v>
      </c>
      <c r="D46" s="7">
        <v>2</v>
      </c>
      <c r="E46" s="7">
        <v>3</v>
      </c>
      <c r="F46" s="76">
        <f>D46*E46</f>
        <v>6</v>
      </c>
      <c r="G46" s="7" t="str">
        <f>IF(F46&gt;=6,"HIGH",IF(F46&gt;=4,"MEDIUM","LOW"))</f>
        <v>HIGH</v>
      </c>
      <c r="H46" s="7" t="s">
        <v>486</v>
      </c>
    </row>
    <row r="47" spans="1:8" x14ac:dyDescent="0.3">
      <c r="B47" s="7" t="s">
        <v>474</v>
      </c>
      <c r="C47" s="7" t="s">
        <v>481</v>
      </c>
      <c r="D47" s="7">
        <v>2</v>
      </c>
      <c r="E47" s="7">
        <v>3</v>
      </c>
      <c r="F47" s="76">
        <f t="shared" ref="F47:F53" si="4">D47*E47</f>
        <v>6</v>
      </c>
      <c r="G47" s="7" t="str">
        <f t="shared" ref="G47:G53" si="5">IF(F47&gt;=6,"HIGH",IF(F47&gt;=4,"MEDIUM","LOW"))</f>
        <v>HIGH</v>
      </c>
      <c r="H47" s="7" t="s">
        <v>487</v>
      </c>
    </row>
    <row r="48" spans="1:8" x14ac:dyDescent="0.3">
      <c r="B48" s="7" t="s">
        <v>475</v>
      </c>
      <c r="C48" s="7" t="s">
        <v>450</v>
      </c>
      <c r="D48" s="7">
        <v>2</v>
      </c>
      <c r="E48" s="7">
        <v>2</v>
      </c>
      <c r="F48" s="76">
        <f t="shared" si="4"/>
        <v>4</v>
      </c>
      <c r="G48" s="7" t="str">
        <f t="shared" si="5"/>
        <v>MEDIUM</v>
      </c>
      <c r="H48" s="7" t="s">
        <v>488</v>
      </c>
    </row>
    <row r="49" spans="1:8" x14ac:dyDescent="0.3">
      <c r="B49" s="7" t="s">
        <v>476</v>
      </c>
      <c r="C49" s="7" t="s">
        <v>449</v>
      </c>
      <c r="D49" s="7">
        <v>2</v>
      </c>
      <c r="E49" s="7">
        <v>2</v>
      </c>
      <c r="F49" s="76">
        <f t="shared" si="4"/>
        <v>4</v>
      </c>
      <c r="G49" s="7" t="str">
        <f t="shared" si="5"/>
        <v>MEDIUM</v>
      </c>
      <c r="H49" s="7" t="s">
        <v>489</v>
      </c>
    </row>
    <row r="50" spans="1:8" x14ac:dyDescent="0.3">
      <c r="B50" s="7" t="s">
        <v>477</v>
      </c>
      <c r="C50" s="7" t="s">
        <v>482</v>
      </c>
      <c r="D50" s="7">
        <v>2</v>
      </c>
      <c r="E50" s="7">
        <v>2</v>
      </c>
      <c r="F50" s="76">
        <f t="shared" si="4"/>
        <v>4</v>
      </c>
      <c r="G50" s="7" t="str">
        <f t="shared" si="5"/>
        <v>MEDIUM</v>
      </c>
      <c r="H50" s="7" t="s">
        <v>490</v>
      </c>
    </row>
    <row r="51" spans="1:8" x14ac:dyDescent="0.3">
      <c r="B51" s="7" t="s">
        <v>478</v>
      </c>
      <c r="C51" s="7" t="s">
        <v>483</v>
      </c>
      <c r="D51" s="7">
        <v>1</v>
      </c>
      <c r="E51" s="7">
        <v>2</v>
      </c>
      <c r="F51" s="76">
        <f t="shared" si="4"/>
        <v>2</v>
      </c>
      <c r="G51" s="7" t="str">
        <f t="shared" si="5"/>
        <v>LOW</v>
      </c>
      <c r="H51" s="7" t="s">
        <v>491</v>
      </c>
    </row>
    <row r="52" spans="1:8" x14ac:dyDescent="0.3">
      <c r="B52" s="7" t="s">
        <v>479</v>
      </c>
      <c r="C52" s="7" t="s">
        <v>484</v>
      </c>
      <c r="D52" s="7">
        <v>1</v>
      </c>
      <c r="E52" s="7">
        <v>2</v>
      </c>
      <c r="F52" s="76">
        <f t="shared" si="4"/>
        <v>2</v>
      </c>
      <c r="G52" s="7" t="str">
        <f t="shared" si="5"/>
        <v>LOW</v>
      </c>
      <c r="H52" s="7" t="s">
        <v>492</v>
      </c>
    </row>
    <row r="53" spans="1:8" x14ac:dyDescent="0.3">
      <c r="B53" s="7" t="s">
        <v>480</v>
      </c>
      <c r="C53" s="7" t="s">
        <v>485</v>
      </c>
      <c r="D53" s="7">
        <v>1</v>
      </c>
      <c r="E53" s="7">
        <v>1</v>
      </c>
      <c r="F53" s="76">
        <f t="shared" si="4"/>
        <v>1</v>
      </c>
      <c r="G53" s="7" t="str">
        <f t="shared" si="5"/>
        <v>LOW</v>
      </c>
      <c r="H53" s="7" t="s">
        <v>493</v>
      </c>
    </row>
    <row r="55" spans="1:8" x14ac:dyDescent="0.3">
      <c r="A55" s="7" t="s">
        <v>494</v>
      </c>
      <c r="B55" s="76">
        <f>COUNTIF(G46:G53,"HIGH")</f>
        <v>2</v>
      </c>
    </row>
    <row r="56" spans="1:8" x14ac:dyDescent="0.3">
      <c r="A56" s="7" t="s">
        <v>495</v>
      </c>
      <c r="B56" s="7">
        <f>COUNTIF(G46:G53,"MEDIUM")</f>
        <v>3</v>
      </c>
    </row>
    <row r="57" spans="1:8" x14ac:dyDescent="0.3">
      <c r="A57" s="7" t="s">
        <v>496</v>
      </c>
      <c r="B57" s="76">
        <f>COUNTIF(G46:G53,"LOW")</f>
        <v>3</v>
      </c>
    </row>
    <row r="59" spans="1:8" ht="15" thickBot="1" x14ac:dyDescent="0.35">
      <c r="A59" s="104" t="s">
        <v>497</v>
      </c>
    </row>
    <row r="60" spans="1:8" x14ac:dyDescent="0.3">
      <c r="A60" s="8" t="s">
        <v>498</v>
      </c>
      <c r="B60" s="8" t="s">
        <v>499</v>
      </c>
      <c r="C60" s="8" t="s">
        <v>405</v>
      </c>
      <c r="D60" s="8" t="s">
        <v>406</v>
      </c>
      <c r="E60" s="8" t="s">
        <v>500</v>
      </c>
    </row>
    <row r="61" spans="1:8" x14ac:dyDescent="0.3">
      <c r="A61" s="7" t="s">
        <v>501</v>
      </c>
      <c r="B61" s="14">
        <f>G15</f>
        <v>0.61250000000000016</v>
      </c>
      <c r="C61" s="7">
        <v>0.35</v>
      </c>
      <c r="D61" s="14">
        <f>B61*C61</f>
        <v>0.21437500000000004</v>
      </c>
    </row>
    <row r="62" spans="1:8" x14ac:dyDescent="0.3">
      <c r="A62" s="7" t="s">
        <v>502</v>
      </c>
      <c r="B62" s="14">
        <f>AVERAGE(B27:D27)*10</f>
        <v>0.61133746786924104</v>
      </c>
      <c r="C62" s="7">
        <v>0.25</v>
      </c>
      <c r="D62" s="14">
        <f t="shared" ref="D62:D64" si="6">B62*C62</f>
        <v>0.15283436696731026</v>
      </c>
    </row>
    <row r="63" spans="1:8" x14ac:dyDescent="0.3">
      <c r="A63" s="7" t="s">
        <v>503</v>
      </c>
      <c r="B63" s="14">
        <f>D42</f>
        <v>0.7</v>
      </c>
      <c r="C63" s="7">
        <v>0.25</v>
      </c>
      <c r="D63" s="14">
        <f t="shared" si="6"/>
        <v>0.17499999999999999</v>
      </c>
    </row>
    <row r="64" spans="1:8" x14ac:dyDescent="0.3">
      <c r="A64" s="7" t="s">
        <v>504</v>
      </c>
      <c r="B64" s="14">
        <f>(9-AVERAGE(F46:F53))/4</f>
        <v>1.34375</v>
      </c>
      <c r="C64" s="7">
        <v>0.15</v>
      </c>
      <c r="D64" s="14">
        <f t="shared" si="6"/>
        <v>0.20156250000000001</v>
      </c>
    </row>
    <row r="65" spans="1:3" x14ac:dyDescent="0.3">
      <c r="A65" s="7" t="s">
        <v>505</v>
      </c>
      <c r="C65" s="7">
        <f>SUM(C61:C64)</f>
        <v>1</v>
      </c>
    </row>
    <row r="67" spans="1:3" ht="18" x14ac:dyDescent="0.35">
      <c r="A67" s="7" t="s">
        <v>506</v>
      </c>
      <c r="B67" s="80">
        <f>SUM(D61:D64)</f>
        <v>0.74377186696731024</v>
      </c>
      <c r="C67" s="81" t="str">
        <f>IF(B67&gt;0.5,"BULLISH 🟢",IF(B67&lt;-0.5,"BEARISH 🔴","NEUTRAL 🟡"))</f>
        <v>BULLISH 🟢</v>
      </c>
    </row>
    <row r="69" spans="1:3" x14ac:dyDescent="0.3">
      <c r="A69" s="7" t="s">
        <v>507</v>
      </c>
    </row>
    <row r="70" spans="1:3" x14ac:dyDescent="0.3">
      <c r="A70" s="7" t="s">
        <v>508</v>
      </c>
      <c r="B70" s="82" t="s">
        <v>509</v>
      </c>
    </row>
    <row r="71" spans="1:3" x14ac:dyDescent="0.3">
      <c r="A71" s="7" t="s">
        <v>510</v>
      </c>
      <c r="B71" s="82" t="s">
        <v>511</v>
      </c>
    </row>
    <row r="72" spans="1:3" x14ac:dyDescent="0.3">
      <c r="A72" s="7" t="s">
        <v>512</v>
      </c>
      <c r="B72" s="83" t="s">
        <v>513</v>
      </c>
    </row>
    <row r="73" spans="1:3" x14ac:dyDescent="0.3">
      <c r="A73" s="7" t="s">
        <v>514</v>
      </c>
      <c r="B73" s="84" t="s">
        <v>515</v>
      </c>
    </row>
    <row r="74" spans="1:3" x14ac:dyDescent="0.3">
      <c r="A74" s="7" t="s">
        <v>516</v>
      </c>
      <c r="B74" s="84" t="s">
        <v>517</v>
      </c>
    </row>
  </sheetData>
  <conditionalFormatting sqref="B8:E13">
    <cfRule type="colorScale" priority="5">
      <colorScale>
        <cfvo type="num" val="-2"/>
        <cfvo type="num" val="0"/>
        <cfvo type="num" val="2"/>
        <color rgb="FFF8696B"/>
        <color rgb="FFFFEB84"/>
        <color rgb="FF63BE7B"/>
      </colorScale>
    </cfRule>
    <cfRule type="colorScale" priority="6">
      <colorScale>
        <cfvo type="min"/>
        <cfvo type="percentile" val="50"/>
        <cfvo type="max"/>
        <color rgb="FFF8696B"/>
        <color rgb="FFFCFCFF"/>
        <color rgb="FF63BE7B"/>
      </colorScale>
    </cfRule>
  </conditionalFormatting>
  <conditionalFormatting sqref="D31:D40">
    <cfRule type="colorScale" priority="4">
      <colorScale>
        <cfvo type="num" val="-2"/>
        <cfvo type="num" val="0"/>
        <cfvo type="num" val="2"/>
        <color rgb="FFF8696B"/>
        <color rgb="FFFFEB84"/>
        <color rgb="FF63BE7B"/>
      </colorScale>
    </cfRule>
  </conditionalFormatting>
  <conditionalFormatting sqref="G14">
    <cfRule type="cellIs" dxfId="7" priority="12" operator="notEqual">
      <formula>1</formula>
    </cfRule>
    <cfRule type="cellIs" dxfId="6" priority="13" operator="equal">
      <formula>1</formula>
    </cfRule>
  </conditionalFormatting>
  <conditionalFormatting sqref="G46:G53">
    <cfRule type="containsText" dxfId="5" priority="1" operator="containsText" text="LOW">
      <formula>NOT(ISERROR(SEARCH("LOW",G46)))</formula>
    </cfRule>
    <cfRule type="containsText" dxfId="4" priority="2" operator="containsText" text="MEDIUM">
      <formula>NOT(ISERROR(SEARCH("MEDIUM",G46)))</formula>
    </cfRule>
    <cfRule type="containsText" dxfId="3" priority="3" operator="containsText" text="HIGH">
      <formula>NOT(ISERROR(SEARCH("HIGH",G46)))</formula>
    </cfRule>
  </conditionalFormatting>
  <conditionalFormatting sqref="H15">
    <cfRule type="containsText" dxfId="2" priority="9" operator="containsText" text="NEUTRAL">
      <formula>NOT(ISERROR(SEARCH("NEUTRAL",H15)))</formula>
    </cfRule>
    <cfRule type="containsText" dxfId="1" priority="10" operator="containsText" text="NEGATIVE">
      <formula>NOT(ISERROR(SEARCH("NEGATIVE",H15)))</formula>
    </cfRule>
    <cfRule type="containsText" dxfId="0" priority="11" operator="containsText" text="POSITIVE">
      <formula>NOT(ISERROR(SEARCH("POSITIVE",H15)))</formula>
    </cfRule>
  </conditionalFormatting>
  <pageMargins left="0.7" right="0.7" top="0.75" bottom="0.75" header="0.3" footer="0.3"/>
  <pageSetup scale="2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Cover</vt:lpstr>
      <vt:lpstr>Assumptions</vt:lpstr>
      <vt:lpstr>Scenarios</vt:lpstr>
      <vt:lpstr>Historical</vt:lpstr>
      <vt:lpstr>IS_Forecast</vt:lpstr>
      <vt:lpstr>BS_Forecast</vt:lpstr>
      <vt:lpstr>CFS_Forecast</vt:lpstr>
      <vt:lpstr>DCF_Valuation</vt:lpstr>
      <vt:lpstr>Comps</vt:lpstr>
      <vt:lpstr>Credit_Metrics</vt:lpstr>
      <vt:lpstr>Sentiment</vt:lpstr>
      <vt:lpstr>Assumptions!Print_Area</vt:lpstr>
      <vt:lpstr>BS_Forecast!Print_Area</vt:lpstr>
      <vt:lpstr>CFS_Forecast!Print_Area</vt:lpstr>
      <vt:lpstr>Comps!Print_Area</vt:lpstr>
      <vt:lpstr>Cover!Print_Area</vt:lpstr>
      <vt:lpstr>Credit_Metrics!Print_Area</vt:lpstr>
      <vt:lpstr>DCF_Valuation!Print_Area</vt:lpstr>
      <vt:lpstr>Historical!Print_Area</vt:lpstr>
      <vt:lpstr>IS_Forecast!Print_Area</vt:lpstr>
      <vt:lpstr>Scenarios!Print_Area</vt:lpstr>
      <vt:lpstr>Sentiment!Print_Area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Rajeev Kumar</dc:creator>
  <cp:lastModifiedBy>RAJEEV KUMAR</cp:lastModifiedBy>
  <cp:lastPrinted>2026-03-09T17:57:33Z</cp:lastPrinted>
  <dcterms:created xsi:type="dcterms:W3CDTF">2026-03-07T11:53:48Z</dcterms:created>
  <dcterms:modified xsi:type="dcterms:W3CDTF">2026-09-10T12:38:42Z</dcterms:modified>
</cp:coreProperties>
</file>